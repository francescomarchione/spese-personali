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ILANCIO DICEMBRE 24" sheetId="1" state="visible" r:id="rId2"/>
    <sheet name="BILANCIO GENNAIO 25" sheetId="2" state="visible" r:id="rId3"/>
    <sheet name="BILANCIO FEBBRAIO 25" sheetId="3" state="visible" r:id="rId4"/>
    <sheet name="BILANCIO MARZO 25" sheetId="4" state="visible" r:id="rId5"/>
    <sheet name="BILANCIO GIUGNO 25" sheetId="5" state="visible" r:id="rId6"/>
    <sheet name="BILANCIO LUGLIO 25" sheetId="6" state="visible" r:id="rId7"/>
    <sheet name="CREDITO" sheetId="7" state="visible" r:id="rId8"/>
    <sheet name="ROUTINE CHECCO" sheetId="8" state="visible" r:id="rId9"/>
    <sheet name="ROUTINE CASA" sheetId="9" state="visible" r:id="rId10"/>
    <sheet name="ROUTINE ORTO MATTINA" sheetId="10" state="visible" r:id="rId11"/>
    <sheet name="IPHONE" sheetId="11" state="visible" r:id="rId12"/>
    <sheet name="MASTER ROUTINE" sheetId="12" state="visible" r:id="rId13"/>
    <sheet name="MAGGIO" sheetId="13" state="visible" r:id="rId14"/>
    <sheet name="APRILE" sheetId="14" state="visible" r:id="rId15"/>
    <sheet name="MARZO" sheetId="15" state="visible" r:id="rId16"/>
    <sheet name="FEBBRAIO" sheetId="16" state="visible" r:id="rId17"/>
    <sheet name="GENNAIO" sheetId="17" state="visible" r:id="rId18"/>
    <sheet name="DICEMBRE" sheetId="18" state="visible" r:id="rId19"/>
    <sheet name="NOVEMBRE" sheetId="19" state="visible" r:id="rId20"/>
    <sheet name="OTTOBRE" sheetId="20" state="visible" r:id="rId21"/>
  </sheets>
  <definedNames>
    <definedName function="false" hidden="true" localSheetId="1" name="_xlnm._FilterDatabase" vbProcedure="false">'BILANCIO GENNAIO 25'!$H$1:$H$62</definedName>
    <definedName function="false" hidden="true" localSheetId="6" name="_xlnm._FilterDatabase" vbProcedure="false">CREDITO!$A$3:$C$3</definedName>
    <definedName function="false" hidden="true" localSheetId="10" name="_xlnm._FilterDatabase" vbProcedure="false">IPHONE!$A$24:$C$24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<sst xmlns="http://schemas.openxmlformats.org/spreadsheetml/2006/main" count="839" uniqueCount="224">
  <si>
    <t xml:space="preserve">CONTANTI </t>
  </si>
  <si>
    <t xml:space="preserve">CARTA</t>
  </si>
  <si>
    <t xml:space="preserve">PUFF</t>
  </si>
  <si>
    <t xml:space="preserve">DATA</t>
  </si>
  <si>
    <t xml:space="preserve">CAUSALE</t>
  </si>
  <si>
    <t xml:space="preserve">ENTRATA</t>
  </si>
  <si>
    <t xml:space="preserve">USCITA</t>
  </si>
  <si>
    <t xml:space="preserve">SALDO</t>
  </si>
  <si>
    <t xml:space="preserve">M&amp;M</t>
  </si>
  <si>
    <t xml:space="preserve">SCOMESSA</t>
  </si>
  <si>
    <t xml:space="preserve">PUFF IMED</t>
  </si>
  <si>
    <t xml:space="preserve">MAGIKA</t>
  </si>
  <si>
    <t xml:space="preserve">CRYPTO VIP</t>
  </si>
  <si>
    <t xml:space="preserve">CALCETTO DA DARE A PINO</t>
  </si>
  <si>
    <t xml:space="preserve">AEREO CRYPTO</t>
  </si>
  <si>
    <t xml:space="preserve">COLAZIONE</t>
  </si>
  <si>
    <t xml:space="preserve">CRYPTO ALL STARS</t>
  </si>
  <si>
    <t xml:space="preserve">PIZZA</t>
  </si>
  <si>
    <t xml:space="preserve">IPHONE BIGIO</t>
  </si>
  <si>
    <t xml:space="preserve">VINTED</t>
  </si>
  <si>
    <t xml:space="preserve">PEPE</t>
  </si>
  <si>
    <t xml:space="preserve">ILIAD</t>
  </si>
  <si>
    <t xml:space="preserve">REGALO</t>
  </si>
  <si>
    <t xml:space="preserve">BIGLIETTO TRENO</t>
  </si>
  <si>
    <t xml:space="preserve">TOTALE</t>
  </si>
  <si>
    <t xml:space="preserve">VACANZA</t>
  </si>
  <si>
    <t xml:space="preserve">IPHONE LASO</t>
  </si>
  <si>
    <t xml:space="preserve">PUFF AMORE</t>
  </si>
  <si>
    <t xml:space="preserve">CAPELLI</t>
  </si>
  <si>
    <t xml:space="preserve">BOLLO CARTA</t>
  </si>
  <si>
    <t xml:space="preserve">PUFF SANSA</t>
  </si>
  <si>
    <t xml:space="preserve">TE ALDI</t>
  </si>
  <si>
    <t xml:space="preserve">PUFF FRATE</t>
  </si>
  <si>
    <t xml:space="preserve">CAFFE </t>
  </si>
  <si>
    <t xml:space="preserve">PULLMAN</t>
  </si>
  <si>
    <t xml:space="preserve">PUFF PAPA</t>
  </si>
  <si>
    <t xml:space="preserve">PUFF PINO</t>
  </si>
  <si>
    <t xml:space="preserve">REGALO CALZA</t>
  </si>
  <si>
    <t xml:space="preserve">PUFF BIGIO</t>
  </si>
  <si>
    <t xml:space="preserve">REGALO COMPLEANNO</t>
  </si>
  <si>
    <t xml:space="preserve">PUFF ANES</t>
  </si>
  <si>
    <t xml:space="preserve">POKE AMORE</t>
  </si>
  <si>
    <t xml:space="preserve">ACQUA</t>
  </si>
  <si>
    <t xml:space="preserve">PUFF PEPPE</t>
  </si>
  <si>
    <t xml:space="preserve">CRYPTO ETH</t>
  </si>
  <si>
    <t xml:space="preserve">BRIOCHES MC</t>
  </si>
  <si>
    <t xml:space="preserve">SPESA ALDI</t>
  </si>
  <si>
    <t xml:space="preserve">MANGIARE</t>
  </si>
  <si>
    <t xml:space="preserve">CRYPTO PEPE,FET</t>
  </si>
  <si>
    <t xml:space="preserve">BIGLIETTO PULLMAN</t>
  </si>
  <si>
    <t xml:space="preserve">PIADINERIA</t>
  </si>
  <si>
    <t xml:space="preserve">COSTEZ</t>
  </si>
  <si>
    <t xml:space="preserve">tot</t>
  </si>
  <si>
    <t xml:space="preserve">POKER</t>
  </si>
  <si>
    <t xml:space="preserve">BILANCIO VACANZA</t>
  </si>
  <si>
    <t xml:space="preserve">PUFF BRUGHE</t>
  </si>
  <si>
    <t xml:space="preserve">BAR 111</t>
  </si>
  <si>
    <t xml:space="preserve">KFC</t>
  </si>
  <si>
    <t xml:space="preserve">PUFF SCARLET</t>
  </si>
  <si>
    <t xml:space="preserve">SNACK</t>
  </si>
  <si>
    <t xml:space="preserve">SCOMESSA </t>
  </si>
  <si>
    <t xml:space="preserve">BIRRA</t>
  </si>
  <si>
    <t xml:space="preserve">PUFF MATZI</t>
  </si>
  <si>
    <t xml:space="preserve">SAN VALENTINO</t>
  </si>
  <si>
    <t xml:space="preserve">SCOMMESSA</t>
  </si>
  <si>
    <t xml:space="preserve">BILANCIO POSITIVO</t>
  </si>
  <si>
    <t xml:space="preserve">LIBRO</t>
  </si>
  <si>
    <t xml:space="preserve">SUSHI</t>
  </si>
  <si>
    <t xml:space="preserve">REGALO ZIO</t>
  </si>
  <si>
    <t xml:space="preserve">IPHONE   </t>
  </si>
  <si>
    <t xml:space="preserve">PUFF ANDREW</t>
  </si>
  <si>
    <t xml:space="preserve">SCALA 40</t>
  </si>
  <si>
    <t xml:space="preserve">BAR PAOLO RIVA</t>
  </si>
  <si>
    <t xml:space="preserve">MERENDA</t>
  </si>
  <si>
    <t xml:space="preserve">PUFF COLPA</t>
  </si>
  <si>
    <t xml:space="preserve">FRIZIONE</t>
  </si>
  <si>
    <t xml:space="preserve">DRINK</t>
  </si>
  <si>
    <t xml:space="preserve">USCITA TREVI</t>
  </si>
  <si>
    <t xml:space="preserve">IPHONE NEGRO</t>
  </si>
  <si>
    <t xml:space="preserve">CALCETTO</t>
  </si>
  <si>
    <t xml:space="preserve">BUONI MARCO</t>
  </si>
  <si>
    <t xml:space="preserve">SCRIVANIA</t>
  </si>
  <si>
    <t xml:space="preserve">PANTALONCINI</t>
  </si>
  <si>
    <t xml:space="preserve">FRISK</t>
  </si>
  <si>
    <t xml:space="preserve">BENZINA</t>
  </si>
  <si>
    <t xml:space="preserve">POLO RALPH</t>
  </si>
  <si>
    <t xml:space="preserve">GELATO</t>
  </si>
  <si>
    <t xml:space="preserve">MERENDA </t>
  </si>
  <si>
    <t xml:space="preserve">PANT JORDAN</t>
  </si>
  <si>
    <t xml:space="preserve">COMPLETO CALCETTO</t>
  </si>
  <si>
    <t xml:space="preserve">MEDICINE</t>
  </si>
  <si>
    <t xml:space="preserve">PRESTITO GENITORI</t>
  </si>
  <si>
    <t xml:space="preserve">PREZZEL AND APPLE</t>
  </si>
  <si>
    <t xml:space="preserve">SUSHI </t>
  </si>
  <si>
    <t xml:space="preserve">TESTINE SPAZZOLINO</t>
  </si>
  <si>
    <t xml:space="preserve">DENTIFRICIO</t>
  </si>
  <si>
    <t xml:space="preserve">COLLUTTORIO</t>
  </si>
  <si>
    <t xml:space="preserve">ENTRATA MAGIKA</t>
  </si>
  <si>
    <t xml:space="preserve">ALLENAMENTO</t>
  </si>
  <si>
    <t xml:space="preserve">ETICHETTE VINTED</t>
  </si>
  <si>
    <t xml:space="preserve"> 2 PIADINA + ACQUA</t>
  </si>
  <si>
    <t xml:space="preserve">3 SBUFF RIAD</t>
  </si>
  <si>
    <t xml:space="preserve">BRACCIA</t>
  </si>
  <si>
    <t xml:space="preserve">GAMBE</t>
  </si>
  <si>
    <t xml:space="preserve">ADDOMINALI</t>
  </si>
  <si>
    <t xml:space="preserve">SPALLE</t>
  </si>
  <si>
    <t xml:space="preserve">PETTO</t>
  </si>
  <si>
    <t xml:space="preserve">MAGIKA ENTRATA IMED</t>
  </si>
  <si>
    <t xml:space="preserve">1 SBUFF ANES CRIO</t>
  </si>
  <si>
    <t xml:space="preserve">X</t>
  </si>
  <si>
    <t xml:space="preserve">PIADINA + ACQUA</t>
  </si>
  <si>
    <t xml:space="preserve">2 SBUFF RIAD</t>
  </si>
  <si>
    <t xml:space="preserve">BUSTO SCHIENA</t>
  </si>
  <si>
    <t xml:space="preserve">2 SBUFF BIGIO</t>
  </si>
  <si>
    <t xml:space="preserve">MAGIKA </t>
  </si>
  <si>
    <t xml:space="preserve">RICARICA MACCHINETTE</t>
  </si>
  <si>
    <t xml:space="preserve">ORDINE OCCHIALI CIABAT</t>
  </si>
  <si>
    <t xml:space="preserve">RESO VINTED</t>
  </si>
  <si>
    <t xml:space="preserve">4 SBUFF RIAD</t>
  </si>
  <si>
    <t xml:space="preserve">BUONI PASTO DA 400</t>
  </si>
  <si>
    <t xml:space="preserve">TESSERA 730</t>
  </si>
  <si>
    <t xml:space="preserve">1 SBUFF SANSA</t>
  </si>
  <si>
    <t xml:space="preserve">FRAPPE</t>
  </si>
  <si>
    <t xml:space="preserve">PRESTITO MARCO</t>
  </si>
  <si>
    <t xml:space="preserve">FONDO VINTED</t>
  </si>
  <si>
    <t xml:space="preserve">1 SBUFF PAPA</t>
  </si>
  <si>
    <t xml:space="preserve">2 SBUFF MEMED</t>
  </si>
  <si>
    <t xml:space="preserve">TIRAMISU</t>
  </si>
  <si>
    <t xml:space="preserve">FOCACCIA</t>
  </si>
  <si>
    <t xml:space="preserve">NOME</t>
  </si>
  <si>
    <t xml:space="preserve">MODELLO</t>
  </si>
  <si>
    <t xml:space="preserve">DA PAGARE</t>
  </si>
  <si>
    <t xml:space="preserve">PAGATO</t>
  </si>
  <si>
    <t xml:space="preserve">BEATO</t>
  </si>
  <si>
    <t xml:space="preserve">ORARIO</t>
  </si>
  <si>
    <t xml:space="preserve">LUNEDI </t>
  </si>
  <si>
    <t xml:space="preserve">DORMIRE</t>
  </si>
  <si>
    <t xml:space="preserve">LAVORO</t>
  </si>
  <si>
    <t xml:space="preserve">DJANGO BLOG</t>
  </si>
  <si>
    <t xml:space="preserve">INVESTIMENTI CNFANS, CRYPTO</t>
  </si>
  <si>
    <t xml:space="preserve">LETTURA ALMENO 10 PAGINE LIBRO MANIPOLAZIONE</t>
  </si>
  <si>
    <t xml:space="preserve">NOTE:</t>
  </si>
  <si>
    <t xml:space="preserve">MARTEDI</t>
  </si>
  <si>
    <t xml:space="preserve">ACCOUNT TIK TOK/INSTA</t>
  </si>
  <si>
    <t xml:space="preserve">MERCOLEDI</t>
  </si>
  <si>
    <t xml:space="preserve">ORDINE LIBRO</t>
  </si>
  <si>
    <t xml:space="preserve">FAI TO DO LIST</t>
  </si>
  <si>
    <t xml:space="preserve">SUBITO.IT,VACANZA</t>
  </si>
  <si>
    <t xml:space="preserve">LEGGERE 10 PAGINE</t>
  </si>
  <si>
    <t xml:space="preserve">GIOVEDI</t>
  </si>
  <si>
    <t xml:space="preserve">HTML BLOG</t>
  </si>
  <si>
    <t xml:space="preserve">AMORE</t>
  </si>
  <si>
    <t xml:space="preserve">LEGGERE</t>
  </si>
  <si>
    <t xml:space="preserve">VENERDI</t>
  </si>
  <si>
    <t xml:space="preserve">PROGETTO PUFF </t>
  </si>
  <si>
    <t xml:space="preserve">INVESTIMENTI CRYPTO, LEGGERE </t>
  </si>
  <si>
    <t xml:space="preserve">SABATO</t>
  </si>
  <si>
    <t xml:space="preserve">ESERCIZI CON MODULI E CLASSI</t>
  </si>
  <si>
    <t xml:space="preserve">DOMENICA</t>
  </si>
  <si>
    <t xml:space="preserve">CONTINUA BLOG</t>
  </si>
  <si>
    <t xml:space="preserve">ORE SONNO</t>
  </si>
  <si>
    <t xml:space="preserve">MOOD</t>
  </si>
  <si>
    <t xml:space="preserve">DESCRIZIONE</t>
  </si>
  <si>
    <t xml:space="preserve">STAMPA FOGLI FIRMA, AGGIORNA TIMBRO,SISTEMA BOLLE</t>
  </si>
  <si>
    <t xml:space="preserve">FOGLI FIRMA,ORE ORTO</t>
  </si>
  <si>
    <t xml:space="preserve">CONTEGGIO ROLL,MESS,EMAIL</t>
  </si>
  <si>
    <t xml:space="preserve">ONLUS,MERDA CQ,SPUNTA RESI</t>
  </si>
  <si>
    <t xml:space="preserve">METTI IN M,GIACENZA,DDT CPR + EMAIL,FILE MOVIMENTAZIONE,SCARICO PER ORARIO</t>
  </si>
  <si>
    <t xml:space="preserve">SIRIO,PIANTINA,MESS,LAYOUT,BIGLIETTINI, EMAIL FORNITORI NON PERVENUTI</t>
  </si>
  <si>
    <t xml:space="preserve">VAI A SPARARE</t>
  </si>
  <si>
    <t xml:space="preserve">ETICHETTE,CANCELLA ONLUS IN GIACENZA RESI, SCRIVI IN RESI CONSEGNATI</t>
  </si>
  <si>
    <t xml:space="preserve">SPESA CON 3 COPIE, 2 FILE BANCALI + PAFRA + LPR SCRIVI SOTTO, COLLI RICEVIMENTO </t>
  </si>
  <si>
    <t xml:space="preserve">PASS DI CONSEGNE, ARRIVO MEZZI</t>
  </si>
  <si>
    <t xml:space="preserve">LANCIO ONDA + FILE COLLI VENTILATI+ MESSAGGIO + DATI DIMENSIONAMENTO</t>
  </si>
  <si>
    <t xml:space="preserve">TUTTI I GIORNI</t>
  </si>
  <si>
    <t xml:space="preserve">ANNO 2025- PREMIO -ORE MATTINA - ACCREDITI - RETTIFICA GIACENZA</t>
  </si>
  <si>
    <t xml:space="preserve">LUNEDì E MERCOLEDì</t>
  </si>
  <si>
    <t xml:space="preserve">FILE DELLA SICILIA USCITE</t>
  </si>
  <si>
    <t xml:space="preserve">GIRO 1                                                       GIRI 90</t>
  </si>
  <si>
    <t xml:space="preserve">                                                     GIRI 90 + FILE ACCREDITI PER DATA</t>
  </si>
  <si>
    <t xml:space="preserve">COLLI</t>
  </si>
  <si>
    <t xml:space="preserve">GIACENZA</t>
  </si>
  <si>
    <t xml:space="preserve">ACQUISTO</t>
  </si>
  <si>
    <t xml:space="preserve">VENDITA</t>
  </si>
  <si>
    <t xml:space="preserve">RICAVO</t>
  </si>
  <si>
    <t xml:space="preserve">SANSA</t>
  </si>
  <si>
    <t xml:space="preserve">IPHONE 16 PRO MAX</t>
  </si>
  <si>
    <t xml:space="preserve">SOCIO LASO</t>
  </si>
  <si>
    <t xml:space="preserve">IPHINE 16 </t>
  </si>
  <si>
    <t xml:space="preserve">NEGRO</t>
  </si>
  <si>
    <t xml:space="preserve">IPHONE 15</t>
  </si>
  <si>
    <t xml:space="preserve">BIGIO</t>
  </si>
  <si>
    <t xml:space="preserve">IPHONE 16 PLUS</t>
  </si>
  <si>
    <t xml:space="preserve">LASO</t>
  </si>
  <si>
    <t xml:space="preserve">CHECCO </t>
  </si>
  <si>
    <t xml:space="preserve">IPHONE 15 </t>
  </si>
  <si>
    <t xml:space="preserve">IPHONE 14</t>
  </si>
  <si>
    <t xml:space="preserve">DA FARE</t>
  </si>
  <si>
    <t xml:space="preserve">FATTO</t>
  </si>
  <si>
    <t xml:space="preserve">NON FATTO</t>
  </si>
  <si>
    <t xml:space="preserve">ESERCIZIO PYTHON</t>
  </si>
  <si>
    <t xml:space="preserve">COMPRA SU CNFANS</t>
  </si>
  <si>
    <t xml:space="preserve">FOTO TUTA VINTED</t>
  </si>
  <si>
    <t xml:space="preserve">CORSA</t>
  </si>
  <si>
    <t xml:space="preserve">CORSO CRYPTO</t>
  </si>
  <si>
    <t xml:space="preserve">METTERE FOTO SU VINTED</t>
  </si>
  <si>
    <t xml:space="preserve">PYTHON</t>
  </si>
  <si>
    <t xml:space="preserve">OBBIETTIVI </t>
  </si>
  <si>
    <t xml:space="preserve">EVENTO</t>
  </si>
  <si>
    <t xml:space="preserve">DIFFICOLTA</t>
  </si>
  <si>
    <t xml:space="preserve">PATENTE</t>
  </si>
  <si>
    <t xml:space="preserve">FACILE</t>
  </si>
  <si>
    <t xml:space="preserve">ISCRIZIONE PALESTRA</t>
  </si>
  <si>
    <t xml:space="preserve">CREA UN BOT TUO PER I GUSTI</t>
  </si>
  <si>
    <t xml:space="preserve">ORA ENTRATA</t>
  </si>
  <si>
    <t xml:space="preserve">ORA USCITA</t>
  </si>
  <si>
    <t xml:space="preserve">PAUSA</t>
  </si>
  <si>
    <t xml:space="preserve">ORE GIORNATA</t>
  </si>
  <si>
    <t xml:space="preserve">ORE NOTTURNO</t>
  </si>
  <si>
    <t xml:space="preserve">//</t>
  </si>
  <si>
    <t xml:space="preserve">FERIE</t>
  </si>
  <si>
    <t xml:space="preserve">TOTALE </t>
  </si>
  <si>
    <t xml:space="preserve">MALATTIA</t>
  </si>
  <si>
    <t xml:space="preserve">PERMESSO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</si>
</sst>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h:mm"/>
    <numFmt numFmtId="166" formatCode="dd\-mmm"/>
    <numFmt numFmtId="167" formatCode="dd/mm/yyyy"/>
    <numFmt numFmtId="168" formatCode="[$-F800]dddd&quot;, &quot;mmmm\ dd&quot;, &quot;yyyy"/>
    <numFmt numFmtId="169" formatCode="_-* #,##0.00_-;\-* #,##0.00_-;_-* \-??_-;_-@_-"/>
    <numFmt numFmtId="170" formatCode="_-* #,##0_-;\-* #,##0_-;_-* \-??_-;_-@_-"/>
    <numFmt numFmtId="171" formatCode="_-* #,##0.0_-;\-* #,##0.0_-;_-* \-??_-;_-@_-"/>
    <numFmt numFmtId="172" formatCode="[$-F400]h:mm:ss\ AM/PM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color rgb="FF000000"/>
      <name val="Calibri"/>
      <family val="2"/>
      <charset val="1"/>
    </font>
    <font>
      <b val="true"/>
      <sz val="11"/>
      <color rgb="FF9C0006"/>
      <name val="Calibri"/>
      <family val="2"/>
      <charset val="1"/>
    </font>
    <font>
      <sz val="11"/>
      <color rgb="FF9C000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u val="single"/>
      <sz val="25"/>
      <color rgb="FFC55A11"/>
      <name val="Calibri"/>
      <family val="2"/>
      <charset val="1"/>
    </font>
    <font>
      <b val="true"/>
      <i val="true"/>
      <u val="single"/>
      <sz val="25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b val="true"/>
      <u val="single"/>
      <sz val="25"/>
      <color rgb="FF000000"/>
      <name val="Calibri"/>
      <family val="2"/>
      <charset val="1"/>
    </font>
    <font>
      <sz val="26"/>
      <color rgb="FF000000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C7CE"/>
        <bgColor rgb="FFF8CBAD"/>
      </patternFill>
    </fill>
    <fill>
      <patternFill patternType="solid">
        <fgColor rgb="FF5B9BD5"/>
        <bgColor rgb="FF8497B0"/>
      </patternFill>
    </fill>
    <fill>
      <patternFill patternType="solid">
        <fgColor rgb="FFA5A5A5"/>
        <bgColor rgb="FF8497B0"/>
      </patternFill>
    </fill>
    <fill>
      <patternFill patternType="solid">
        <fgColor rgb="FFC6EFCE"/>
        <bgColor rgb="FFD6DCE5"/>
      </patternFill>
    </fill>
    <fill>
      <patternFill patternType="solid">
        <fgColor rgb="FFFFEB9C"/>
        <bgColor rgb="FFFBE5D6"/>
      </patternFill>
    </fill>
    <fill>
      <patternFill patternType="solid">
        <fgColor rgb="FFFFFFFF"/>
        <bgColor rgb="FFDEEBF7"/>
      </patternFill>
    </fill>
    <fill>
      <patternFill patternType="solid">
        <fgColor rgb="FFFFFF00"/>
        <bgColor rgb="FFFFD966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FC7CE"/>
      </patternFill>
    </fill>
    <fill>
      <patternFill patternType="solid">
        <fgColor rgb="FFFF0000"/>
        <bgColor rgb="FF9C0006"/>
      </patternFill>
    </fill>
    <fill>
      <patternFill patternType="solid">
        <fgColor rgb="FF92D050"/>
        <bgColor rgb="FFA9D18E"/>
      </patternFill>
    </fill>
    <fill>
      <patternFill patternType="solid">
        <fgColor rgb="FFFBE5D6"/>
        <bgColor rgb="FFDEEBF7"/>
      </patternFill>
    </fill>
    <fill>
      <patternFill patternType="solid">
        <fgColor rgb="FFDEEBF7"/>
        <bgColor rgb="FFD6DCE5"/>
      </patternFill>
    </fill>
    <fill>
      <patternFill patternType="solid">
        <fgColor rgb="FF2E75B6"/>
        <bgColor rgb="FF0070C0"/>
      </patternFill>
    </fill>
    <fill>
      <patternFill patternType="solid">
        <fgColor rgb="FFFFD966"/>
        <bgColor rgb="FFFFEB9C"/>
      </patternFill>
    </fill>
    <fill>
      <patternFill patternType="solid">
        <fgColor rgb="FF7030A0"/>
        <bgColor rgb="FF993366"/>
      </patternFill>
    </fill>
    <fill>
      <patternFill patternType="solid">
        <fgColor rgb="FFD6DCE5"/>
        <bgColor rgb="FFDEEBF7"/>
      </patternFill>
    </fill>
    <fill>
      <patternFill patternType="solid">
        <fgColor rgb="FF8497B0"/>
        <bgColor rgb="FFA5A5A5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A9D18E"/>
        <bgColor rgb="FF92D05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>
        <color rgb="FF3F3F3F"/>
      </left>
      <right style="double">
        <color rgb="FF3F3F3F"/>
      </right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1" applyFont="true" applyBorder="true" applyAlignment="true" applyProtection="false">
      <alignment horizontal="general" vertical="bottom" textRotation="0" wrapText="false" indent="0" shrinkToFit="false"/>
    </xf>
    <xf numFmtId="164" fontId="9" fillId="5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5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5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6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top" textRotation="135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135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135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15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135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2" xfId="15" applyFont="true" applyBorder="true" applyAlignment="true" applyProtection="true">
      <alignment horizontal="center" vertical="center" textRotation="135" wrapText="false" indent="0" shrinkToFit="false"/>
      <protection locked="true" hidden="false"/>
    </xf>
    <xf numFmtId="172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135" wrapText="false" indent="0" shrinkToFit="false"/>
      <protection locked="true" hidden="false"/>
    </xf>
    <xf numFmtId="165" fontId="0" fillId="7" borderId="2" xfId="0" applyFont="true" applyBorder="true" applyAlignment="true" applyProtection="false">
      <alignment horizontal="center" vertical="bottom" textRotation="135" wrapText="false" indent="0" shrinkToFit="false"/>
      <protection locked="true" hidden="false"/>
    </xf>
    <xf numFmtId="164" fontId="10" fillId="1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Accent1" xfId="21"/>
    <cellStyle name="Excel Built-in Check Cell" xfId="22"/>
    <cellStyle name="Excel Built-in Good" xfId="23"/>
    <cellStyle name="Excel Built-in Neutral" xfId="24"/>
  </cellStyles>
  <dxfs count="11">
    <dxf>
      <fill>
        <patternFill patternType="solid">
          <fgColor rgb="FF5B9BD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A5A5A5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9C6500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0061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9D18E"/>
      <rgbColor rgb="FF5B9BD5"/>
      <rgbColor rgb="FFA5A5A5"/>
      <rgbColor rgb="FF7030A0"/>
      <rgbColor rgb="FFFBE5D6"/>
      <rgbColor rgb="FFDEEBF7"/>
      <rgbColor rgb="FF660066"/>
      <rgbColor rgb="FFFF8080"/>
      <rgbColor rgb="FF0070C0"/>
      <rgbColor rgb="FFD6DCE5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2E75B6"/>
      <rgbColor rgb="FF33CCCC"/>
      <rgbColor rgb="FF92D050"/>
      <rgbColor rgb="FFFFC000"/>
      <rgbColor rgb="FFFF9900"/>
      <rgbColor rgb="FFC55A11"/>
      <rgbColor rgb="FF666699"/>
      <rgbColor rgb="FF8497B0"/>
      <rgbColor rgb="FF003366"/>
      <rgbColor rgb="FF00B050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la134" displayName="Tabella134" ref="A2:D16" headerRowCount="1" totalsRowCount="0" totalsRowShown="0">
  <autoFilter ref="A2:D16"/>
  <tableColumns count="4">
    <tableColumn id="1" name="ORARIO"/>
    <tableColumn id="2" name="DA FARE"/>
    <tableColumn id="3" name="FATTO"/>
    <tableColumn id="4" name="NON FATTO"/>
  </tableColumns>
</table>
</file>

<file path=xl/tables/table2.xml><?xml version="1.0" encoding="utf-8"?>
<table xmlns="http://schemas.openxmlformats.org/spreadsheetml/2006/main" id="2" name="Tabella1345" displayName="Tabella1345" ref="A2:E16" headerRowCount="1" totalsRowCount="0" totalsRowShown="0">
  <autoFilter ref="A2:E16"/>
  <tableColumns count="5">
    <tableColumn id="1" name="NOME"/>
    <tableColumn id="2" name="MODELLO"/>
    <tableColumn id="3" name="ACQUISTO"/>
    <tableColumn id="4" name="VENDITA"/>
    <tableColumn id="5" name="RICAVO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N47" activeCellId="0" sqref="N4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13.57"/>
    <col collapsed="false" customWidth="true" hidden="false" outlineLevel="0" max="10" min="10" style="0" width="13.71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0" width="13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2</v>
      </c>
      <c r="N1" s="1"/>
      <c r="O1" s="1"/>
      <c r="P1" s="1"/>
      <c r="Q1" s="1"/>
    </row>
    <row r="2" customFormat="false" ht="15.75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  <c r="K2" s="1"/>
      <c r="M2" s="1"/>
      <c r="N2" s="1"/>
      <c r="O2" s="1"/>
      <c r="P2" s="1"/>
      <c r="Q2" s="1"/>
    </row>
    <row r="3" customFormat="false" ht="15.75" hidden="false" customHeight="false" outlineLevel="0" collapsed="false">
      <c r="A3" s="2" t="s">
        <v>3</v>
      </c>
      <c r="B3" s="3" t="s">
        <v>4</v>
      </c>
      <c r="C3" s="4" t="s">
        <v>5</v>
      </c>
      <c r="D3" s="4" t="s">
        <v>6</v>
      </c>
      <c r="E3" s="5" t="s">
        <v>7</v>
      </c>
      <c r="G3" s="6" t="s">
        <v>3</v>
      </c>
      <c r="H3" s="7" t="s">
        <v>4</v>
      </c>
      <c r="I3" s="8" t="s">
        <v>5</v>
      </c>
      <c r="J3" s="8" t="s">
        <v>6</v>
      </c>
      <c r="K3" s="9" t="s">
        <v>7</v>
      </c>
      <c r="M3" s="2" t="s">
        <v>3</v>
      </c>
      <c r="N3" s="3" t="s">
        <v>4</v>
      </c>
      <c r="O3" s="4" t="s">
        <v>5</v>
      </c>
      <c r="P3" s="4" t="s">
        <v>6</v>
      </c>
      <c r="Q3" s="5" t="s">
        <v>7</v>
      </c>
    </row>
    <row r="4" customFormat="false" ht="15.75" hidden="false" customHeight="false" outlineLevel="0" collapsed="false">
      <c r="A4" s="10" t="n">
        <v>45646</v>
      </c>
      <c r="B4" s="11" t="s">
        <v>8</v>
      </c>
      <c r="C4" s="11"/>
      <c r="D4" s="11" t="n">
        <v>1</v>
      </c>
      <c r="E4" s="11" t="n">
        <f aca="false">SUM(C4-D4)</f>
        <v>-1</v>
      </c>
      <c r="G4" s="12" t="n">
        <v>45655</v>
      </c>
      <c r="H4" s="13" t="s">
        <v>9</v>
      </c>
      <c r="I4" s="13"/>
      <c r="J4" s="13" t="n">
        <v>505</v>
      </c>
      <c r="K4" s="13" t="n">
        <f aca="false">SUM(I4-J4)</f>
        <v>-505</v>
      </c>
      <c r="M4" s="10" t="n">
        <v>45652</v>
      </c>
      <c r="N4" s="11" t="s">
        <v>10</v>
      </c>
      <c r="O4" s="11" t="n">
        <v>9.5</v>
      </c>
      <c r="P4" s="11"/>
      <c r="Q4" s="11" t="n">
        <f aca="false">SUM(O4-P4)</f>
        <v>9.5</v>
      </c>
    </row>
    <row r="5" customFormat="false" ht="15.75" hidden="false" customHeight="false" outlineLevel="0" collapsed="false">
      <c r="A5" s="10" t="n">
        <v>45655</v>
      </c>
      <c r="B5" s="14" t="s">
        <v>11</v>
      </c>
      <c r="C5" s="14"/>
      <c r="D5" s="14" t="n">
        <v>15</v>
      </c>
      <c r="E5" s="11" t="n">
        <f aca="false">SUM(C5-D5)</f>
        <v>-15</v>
      </c>
      <c r="G5" s="12" t="n">
        <v>45639</v>
      </c>
      <c r="H5" s="15" t="s">
        <v>12</v>
      </c>
      <c r="I5" s="15"/>
      <c r="J5" s="15" t="n">
        <v>351</v>
      </c>
      <c r="K5" s="13" t="n">
        <f aca="false">SUM(I5-J5)</f>
        <v>-351</v>
      </c>
      <c r="M5" s="10"/>
      <c r="N5" s="14"/>
      <c r="O5" s="14"/>
      <c r="P5" s="14"/>
      <c r="Q5" s="11" t="n">
        <f aca="false">SUM(O5-P5)</f>
        <v>0</v>
      </c>
    </row>
    <row r="6" customFormat="false" ht="15.75" hidden="false" customHeight="false" outlineLevel="0" collapsed="false">
      <c r="A6" s="10" t="n">
        <v>45656</v>
      </c>
      <c r="B6" s="14" t="s">
        <v>13</v>
      </c>
      <c r="C6" s="14"/>
      <c r="D6" s="14" t="n">
        <v>5</v>
      </c>
      <c r="E6" s="11" t="n">
        <f aca="false">SUM(C6-D6)</f>
        <v>-5</v>
      </c>
      <c r="G6" s="12" t="n">
        <v>45639</v>
      </c>
      <c r="H6" s="15" t="s">
        <v>14</v>
      </c>
      <c r="I6" s="15"/>
      <c r="J6" s="15" t="n">
        <v>50</v>
      </c>
      <c r="K6" s="13" t="n">
        <f aca="false">SUM(I6-J6)</f>
        <v>-50</v>
      </c>
      <c r="M6" s="10"/>
      <c r="N6" s="14"/>
      <c r="O6" s="14"/>
      <c r="P6" s="14"/>
      <c r="Q6" s="11" t="n">
        <f aca="false">SUM(O6-P6)</f>
        <v>0</v>
      </c>
    </row>
    <row r="7" customFormat="false" ht="15.75" hidden="false" customHeight="false" outlineLevel="0" collapsed="false">
      <c r="A7" s="16" t="n">
        <v>46022</v>
      </c>
      <c r="B7" s="14" t="s">
        <v>15</v>
      </c>
      <c r="C7" s="14"/>
      <c r="D7" s="14" t="n">
        <v>2.5</v>
      </c>
      <c r="E7" s="11" t="n">
        <f aca="false">SUM(C7-D7)</f>
        <v>-2.5</v>
      </c>
      <c r="G7" s="17" t="n">
        <v>45639</v>
      </c>
      <c r="H7" s="15" t="s">
        <v>16</v>
      </c>
      <c r="I7" s="15"/>
      <c r="J7" s="15" t="n">
        <v>630</v>
      </c>
      <c r="K7" s="13" t="n">
        <f aca="false">SUM(I7-J7)</f>
        <v>-630</v>
      </c>
      <c r="M7" s="14"/>
      <c r="N7" s="14"/>
      <c r="O7" s="14"/>
      <c r="P7" s="14"/>
      <c r="Q7" s="11" t="n">
        <f aca="false">SUM(O7-P7)</f>
        <v>0</v>
      </c>
    </row>
    <row r="8" customFormat="false" ht="15.75" hidden="false" customHeight="false" outlineLevel="0" collapsed="false">
      <c r="A8" s="16" t="n">
        <v>46022</v>
      </c>
      <c r="B8" s="14" t="s">
        <v>17</v>
      </c>
      <c r="C8" s="14"/>
      <c r="D8" s="14" t="n">
        <v>10</v>
      </c>
      <c r="E8" s="11" t="n">
        <f aca="false">SUM(C8-D8)</f>
        <v>-10</v>
      </c>
      <c r="G8" s="17" t="n">
        <v>45640</v>
      </c>
      <c r="H8" s="15" t="s">
        <v>9</v>
      </c>
      <c r="I8" s="15"/>
      <c r="J8" s="15" t="n">
        <v>704</v>
      </c>
      <c r="K8" s="13" t="n">
        <f aca="false">SUM(I8-J8)</f>
        <v>-704</v>
      </c>
      <c r="M8" s="14"/>
      <c r="N8" s="14"/>
      <c r="O8" s="14"/>
      <c r="P8" s="14"/>
      <c r="Q8" s="11" t="n">
        <f aca="false">SUM(O8-P8)</f>
        <v>0</v>
      </c>
    </row>
    <row r="9" customFormat="false" ht="15.75" hidden="false" customHeight="false" outlineLevel="0" collapsed="false">
      <c r="A9" s="14"/>
      <c r="B9" s="14"/>
      <c r="C9" s="14"/>
      <c r="D9" s="14"/>
      <c r="E9" s="11" t="n">
        <f aca="false">SUM(C9-D9)</f>
        <v>0</v>
      </c>
      <c r="G9" s="17" t="n">
        <v>45641</v>
      </c>
      <c r="H9" s="15" t="s">
        <v>18</v>
      </c>
      <c r="I9" s="15" t="n">
        <v>200</v>
      </c>
      <c r="J9" s="15"/>
      <c r="K9" s="13" t="n">
        <f aca="false">SUM(I9-J9)</f>
        <v>200</v>
      </c>
      <c r="M9" s="14"/>
      <c r="N9" s="14"/>
      <c r="O9" s="14"/>
      <c r="P9" s="14"/>
      <c r="Q9" s="11" t="n">
        <f aca="false">SUM(O9-P9)</f>
        <v>0</v>
      </c>
    </row>
    <row r="10" customFormat="false" ht="15.75" hidden="false" customHeight="false" outlineLevel="0" collapsed="false">
      <c r="A10" s="14"/>
      <c r="B10" s="14"/>
      <c r="C10" s="14"/>
      <c r="D10" s="14"/>
      <c r="E10" s="11" t="n">
        <f aca="false">SUM(C10-D10)</f>
        <v>0</v>
      </c>
      <c r="G10" s="17" t="n">
        <v>45642</v>
      </c>
      <c r="H10" s="15" t="s">
        <v>19</v>
      </c>
      <c r="I10" s="15" t="n">
        <v>365</v>
      </c>
      <c r="J10" s="15"/>
      <c r="K10" s="13" t="n">
        <f aca="false">SUM(I10-J10)</f>
        <v>365</v>
      </c>
      <c r="M10" s="14"/>
      <c r="N10" s="14"/>
      <c r="O10" s="14"/>
      <c r="P10" s="14"/>
      <c r="Q10" s="11" t="n">
        <f aca="false">SUM(O10-P10)</f>
        <v>0</v>
      </c>
    </row>
    <row r="11" customFormat="false" ht="15.75" hidden="false" customHeight="false" outlineLevel="0" collapsed="false">
      <c r="A11" s="14"/>
      <c r="B11" s="14"/>
      <c r="C11" s="14"/>
      <c r="D11" s="14"/>
      <c r="E11" s="11" t="n">
        <f aca="false">SUM(C11-D11)</f>
        <v>0</v>
      </c>
      <c r="G11" s="17" t="n">
        <v>45645</v>
      </c>
      <c r="H11" s="15" t="s">
        <v>20</v>
      </c>
      <c r="I11" s="15"/>
      <c r="J11" s="15" t="n">
        <v>1020</v>
      </c>
      <c r="K11" s="13" t="n">
        <f aca="false">SUM(I11-J11)</f>
        <v>-1020</v>
      </c>
      <c r="M11" s="14"/>
      <c r="N11" s="14"/>
      <c r="O11" s="14"/>
      <c r="P11" s="14"/>
      <c r="Q11" s="11" t="n">
        <f aca="false">SUM(O11-P11)</f>
        <v>0</v>
      </c>
    </row>
    <row r="12" customFormat="false" ht="15.75" hidden="false" customHeight="false" outlineLevel="0" collapsed="false">
      <c r="A12" s="14"/>
      <c r="B12" s="14"/>
      <c r="C12" s="14"/>
      <c r="D12" s="14"/>
      <c r="E12" s="11" t="n">
        <f aca="false">SUM(C12-D12)</f>
        <v>0</v>
      </c>
      <c r="G12" s="17" t="n">
        <v>45645</v>
      </c>
      <c r="H12" s="15" t="s">
        <v>21</v>
      </c>
      <c r="I12" s="15"/>
      <c r="J12" s="15" t="n">
        <v>8</v>
      </c>
      <c r="K12" s="13" t="n">
        <f aca="false">SUM(I12-J12)</f>
        <v>-8</v>
      </c>
      <c r="M12" s="14"/>
      <c r="N12" s="14"/>
      <c r="O12" s="14"/>
      <c r="P12" s="14"/>
      <c r="Q12" s="11" t="n">
        <f aca="false">SUM(O12-P12)</f>
        <v>0</v>
      </c>
    </row>
    <row r="13" customFormat="false" ht="15.75" hidden="false" customHeight="false" outlineLevel="0" collapsed="false">
      <c r="A13" s="14"/>
      <c r="B13" s="14"/>
      <c r="C13" s="14"/>
      <c r="D13" s="14"/>
      <c r="E13" s="11" t="n">
        <f aca="false">SUM(C13-D13)</f>
        <v>0</v>
      </c>
      <c r="G13" s="17" t="n">
        <v>45645</v>
      </c>
      <c r="H13" s="15" t="s">
        <v>9</v>
      </c>
      <c r="I13" s="15" t="n">
        <v>75</v>
      </c>
      <c r="J13" s="15"/>
      <c r="K13" s="13" t="n">
        <f aca="false">SUM(I13-J13)</f>
        <v>75</v>
      </c>
      <c r="M13" s="14"/>
      <c r="N13" s="14"/>
      <c r="O13" s="14"/>
      <c r="P13" s="14"/>
      <c r="Q13" s="11" t="n">
        <f aca="false">SUM(O13-P13)</f>
        <v>0</v>
      </c>
    </row>
    <row r="14" customFormat="false" ht="15.75" hidden="false" customHeight="false" outlineLevel="0" collapsed="false">
      <c r="A14" s="14"/>
      <c r="B14" s="14"/>
      <c r="C14" s="14"/>
      <c r="D14" s="14"/>
      <c r="E14" s="11" t="n">
        <f aca="false">SUM(C14-D14)</f>
        <v>0</v>
      </c>
      <c r="G14" s="17" t="n">
        <v>45646</v>
      </c>
      <c r="H14" s="15" t="s">
        <v>22</v>
      </c>
      <c r="I14" s="15"/>
      <c r="J14" s="15" t="n">
        <v>108</v>
      </c>
      <c r="K14" s="13" t="n">
        <f aca="false">SUM(I14-J14)</f>
        <v>-108</v>
      </c>
      <c r="M14" s="14"/>
      <c r="N14" s="14"/>
      <c r="O14" s="14"/>
      <c r="P14" s="14"/>
      <c r="Q14" s="11" t="n">
        <f aca="false">SUM(O14-P14)</f>
        <v>0</v>
      </c>
    </row>
    <row r="15" customFormat="false" ht="15.75" hidden="false" customHeight="false" outlineLevel="0" collapsed="false">
      <c r="A15" s="14"/>
      <c r="B15" s="14"/>
      <c r="C15" s="14"/>
      <c r="D15" s="14"/>
      <c r="E15" s="11" t="n">
        <f aca="false">SUM(C15-D15)</f>
        <v>0</v>
      </c>
      <c r="G15" s="17" t="n">
        <v>45646</v>
      </c>
      <c r="H15" s="15" t="s">
        <v>22</v>
      </c>
      <c r="I15" s="15"/>
      <c r="J15" s="15" t="n">
        <v>100</v>
      </c>
      <c r="K15" s="13" t="n">
        <f aca="false">SUM(I15-J15)</f>
        <v>-100</v>
      </c>
      <c r="M15" s="14"/>
      <c r="N15" s="14"/>
      <c r="O15" s="14"/>
      <c r="P15" s="14"/>
      <c r="Q15" s="11" t="n">
        <f aca="false">SUM(O15-P15)</f>
        <v>0</v>
      </c>
    </row>
    <row r="16" customFormat="false" ht="15.75" hidden="false" customHeight="false" outlineLevel="0" collapsed="false">
      <c r="A16" s="14"/>
      <c r="B16" s="14"/>
      <c r="C16" s="14"/>
      <c r="D16" s="14"/>
      <c r="E16" s="11" t="n">
        <f aca="false">SUM(C16-D16)</f>
        <v>0</v>
      </c>
      <c r="G16" s="17" t="n">
        <v>45646</v>
      </c>
      <c r="H16" s="15" t="s">
        <v>22</v>
      </c>
      <c r="I16" s="15"/>
      <c r="J16" s="15" t="n">
        <v>200</v>
      </c>
      <c r="K16" s="13" t="n">
        <f aca="false">SUM(I16-J16)</f>
        <v>-200</v>
      </c>
      <c r="M16" s="14"/>
      <c r="N16" s="14"/>
      <c r="O16" s="14"/>
      <c r="P16" s="14"/>
      <c r="Q16" s="11" t="n">
        <f aca="false">SUM(O16-P16)</f>
        <v>0</v>
      </c>
    </row>
    <row r="17" customFormat="false" ht="15.75" hidden="false" customHeight="false" outlineLevel="0" collapsed="false">
      <c r="A17" s="14"/>
      <c r="B17" s="14"/>
      <c r="C17" s="14"/>
      <c r="D17" s="14"/>
      <c r="E17" s="11" t="n">
        <f aca="false">SUM(C17-D17)</f>
        <v>0</v>
      </c>
      <c r="G17" s="17" t="n">
        <v>45646</v>
      </c>
      <c r="H17" s="15" t="s">
        <v>23</v>
      </c>
      <c r="I17" s="15"/>
      <c r="J17" s="15" t="n">
        <v>7.6</v>
      </c>
      <c r="K17" s="13" t="n">
        <f aca="false">SUM(I17-J17)</f>
        <v>-7.6</v>
      </c>
      <c r="M17" s="14"/>
      <c r="N17" s="14"/>
      <c r="O17" s="14"/>
      <c r="P17" s="14"/>
      <c r="Q17" s="11" t="n">
        <f aca="false">SUM(O17-P17)</f>
        <v>0</v>
      </c>
    </row>
    <row r="18" customFormat="false" ht="15.75" hidden="false" customHeight="false" outlineLevel="0" collapsed="false">
      <c r="A18" s="14"/>
      <c r="B18" s="14"/>
      <c r="C18" s="14"/>
      <c r="D18" s="14"/>
      <c r="E18" s="11" t="n">
        <f aca="false">SUM(C18-D18)</f>
        <v>0</v>
      </c>
      <c r="G18" s="17" t="n">
        <v>45649</v>
      </c>
      <c r="H18" s="15" t="s">
        <v>9</v>
      </c>
      <c r="I18" s="15"/>
      <c r="J18" s="15" t="n">
        <v>100</v>
      </c>
      <c r="K18" s="13" t="n">
        <f aca="false">SUM(I18-J18)</f>
        <v>-100</v>
      </c>
      <c r="M18" s="14"/>
      <c r="N18" s="14"/>
      <c r="O18" s="14"/>
      <c r="P18" s="14"/>
      <c r="Q18" s="11" t="n">
        <f aca="false">SUM(O18-P18)</f>
        <v>0</v>
      </c>
    </row>
    <row r="19" customFormat="false" ht="15.75" hidden="false" customHeight="false" outlineLevel="0" collapsed="false">
      <c r="A19" s="14"/>
      <c r="B19" s="14"/>
      <c r="C19" s="14"/>
      <c r="D19" s="14"/>
      <c r="E19" s="11" t="n">
        <f aca="false">SUM(C19-D19)</f>
        <v>0</v>
      </c>
      <c r="G19" s="17" t="n">
        <v>45653</v>
      </c>
      <c r="H19" s="15" t="s">
        <v>9</v>
      </c>
      <c r="I19" s="15" t="n">
        <v>869</v>
      </c>
      <c r="J19" s="15"/>
      <c r="K19" s="13" t="n">
        <f aca="false">SUM(I19-J19)</f>
        <v>869</v>
      </c>
      <c r="M19" s="14"/>
      <c r="N19" s="14"/>
      <c r="O19" s="14"/>
      <c r="P19" s="14"/>
      <c r="Q19" s="11" t="n">
        <f aca="false">SUM(O19-P19)</f>
        <v>0</v>
      </c>
    </row>
    <row r="20" customFormat="false" ht="15.75" hidden="false" customHeight="false" outlineLevel="0" collapsed="false">
      <c r="A20" s="14"/>
      <c r="B20" s="14"/>
      <c r="C20" s="14"/>
      <c r="D20" s="14"/>
      <c r="E20" s="11" t="n">
        <f aca="false">SUM(C20-D20)</f>
        <v>0</v>
      </c>
      <c r="G20" s="17" t="n">
        <v>45654</v>
      </c>
      <c r="H20" s="15" t="s">
        <v>9</v>
      </c>
      <c r="I20" s="15"/>
      <c r="J20" s="15" t="n">
        <v>504</v>
      </c>
      <c r="K20" s="13" t="n">
        <f aca="false">SUM(I20-J20)</f>
        <v>-504</v>
      </c>
      <c r="M20" s="14"/>
      <c r="N20" s="14"/>
      <c r="O20" s="14"/>
      <c r="P20" s="14"/>
      <c r="Q20" s="11" t="n">
        <f aca="false">SUM(O20-P20)</f>
        <v>0</v>
      </c>
    </row>
    <row r="21" customFormat="false" ht="15.75" hidden="false" customHeight="false" outlineLevel="0" collapsed="false">
      <c r="A21" s="14"/>
      <c r="B21" s="14"/>
      <c r="C21" s="14"/>
      <c r="D21" s="14"/>
      <c r="E21" s="11" t="n">
        <f aca="false">SUM(C21-D21)</f>
        <v>0</v>
      </c>
      <c r="G21" s="17" t="n">
        <v>45655</v>
      </c>
      <c r="H21" s="15" t="s">
        <v>11</v>
      </c>
      <c r="I21" s="15"/>
      <c r="J21" s="15" t="n">
        <v>10</v>
      </c>
      <c r="K21" s="13" t="n">
        <f aca="false">SUM(I21-J21)</f>
        <v>-10</v>
      </c>
      <c r="M21" s="14"/>
      <c r="N21" s="14"/>
      <c r="O21" s="14"/>
      <c r="P21" s="14"/>
      <c r="Q21" s="11" t="n">
        <f aca="false">SUM(O21-P21)</f>
        <v>0</v>
      </c>
    </row>
    <row r="22" customFormat="false" ht="15.75" hidden="false" customHeight="false" outlineLevel="0" collapsed="false">
      <c r="A22" s="14"/>
      <c r="B22" s="14"/>
      <c r="C22" s="14"/>
      <c r="D22" s="14"/>
      <c r="E22" s="11" t="n">
        <f aca="false">SUM(C22-D22)</f>
        <v>0</v>
      </c>
      <c r="G22" s="14"/>
      <c r="H22" s="14"/>
      <c r="I22" s="14"/>
      <c r="J22" s="14"/>
      <c r="K22" s="11" t="n">
        <f aca="false">SUM(I22-J22)</f>
        <v>0</v>
      </c>
      <c r="M22" s="14"/>
      <c r="N22" s="14"/>
      <c r="O22" s="14"/>
      <c r="P22" s="14"/>
      <c r="Q22" s="11" t="n">
        <f aca="false">SUM(O22-P22)</f>
        <v>0</v>
      </c>
    </row>
    <row r="23" customFormat="false" ht="15.75" hidden="false" customHeight="false" outlineLevel="0" collapsed="false">
      <c r="A23" s="14"/>
      <c r="B23" s="14"/>
      <c r="C23" s="14"/>
      <c r="D23" s="14"/>
      <c r="E23" s="11" t="n">
        <f aca="false">SUM(C23-D23)</f>
        <v>0</v>
      </c>
      <c r="G23" s="14"/>
      <c r="H23" s="14"/>
      <c r="I23" s="14"/>
      <c r="J23" s="14"/>
      <c r="K23" s="11" t="n">
        <f aca="false">SUM(I23-J23)</f>
        <v>0</v>
      </c>
      <c r="M23" s="14"/>
      <c r="N23" s="14"/>
      <c r="O23" s="14"/>
      <c r="P23" s="14"/>
      <c r="Q23" s="11" t="n">
        <f aca="false">SUM(O23-P23)</f>
        <v>0</v>
      </c>
    </row>
    <row r="24" customFormat="false" ht="15.75" hidden="false" customHeight="false" outlineLevel="0" collapsed="false">
      <c r="A24" s="14"/>
      <c r="B24" s="14"/>
      <c r="C24" s="14"/>
      <c r="D24" s="14"/>
      <c r="E24" s="11" t="n">
        <f aca="false">SUM(C24-D24)</f>
        <v>0</v>
      </c>
      <c r="G24" s="14"/>
      <c r="H24" s="14"/>
      <c r="I24" s="14"/>
      <c r="J24" s="14"/>
      <c r="K24" s="11" t="n">
        <f aca="false">SUM(I24-J24)</f>
        <v>0</v>
      </c>
      <c r="M24" s="14"/>
      <c r="N24" s="14"/>
      <c r="O24" s="14"/>
      <c r="P24" s="14"/>
      <c r="Q24" s="11" t="n">
        <f aca="false">SUM(O24-P24)</f>
        <v>0</v>
      </c>
    </row>
    <row r="25" customFormat="false" ht="15.75" hidden="false" customHeight="false" outlineLevel="0" collapsed="false">
      <c r="A25" s="14"/>
      <c r="B25" s="14"/>
      <c r="C25" s="14"/>
      <c r="D25" s="14"/>
      <c r="E25" s="11" t="n">
        <f aca="false">SUM(C25-D25)</f>
        <v>0</v>
      </c>
      <c r="G25" s="14"/>
      <c r="H25" s="14"/>
      <c r="I25" s="14"/>
      <c r="J25" s="14"/>
      <c r="K25" s="11" t="n">
        <f aca="false">SUM(I25-J25)</f>
        <v>0</v>
      </c>
      <c r="M25" s="14"/>
      <c r="N25" s="14"/>
      <c r="O25" s="14"/>
      <c r="P25" s="14"/>
      <c r="Q25" s="11" t="n">
        <f aca="false">SUM(O25-P25)</f>
        <v>0</v>
      </c>
    </row>
    <row r="26" customFormat="false" ht="15.75" hidden="false" customHeight="false" outlineLevel="0" collapsed="false">
      <c r="A26" s="14"/>
      <c r="B26" s="14"/>
      <c r="C26" s="14"/>
      <c r="D26" s="14"/>
      <c r="E26" s="11" t="n">
        <f aca="false">SUM(C26-D26)</f>
        <v>0</v>
      </c>
      <c r="G26" s="14"/>
      <c r="H26" s="14"/>
      <c r="I26" s="14"/>
      <c r="J26" s="14"/>
      <c r="K26" s="11" t="n">
        <f aca="false">SUM(I26-J26)</f>
        <v>0</v>
      </c>
      <c r="M26" s="14"/>
      <c r="N26" s="14"/>
      <c r="O26" s="14"/>
      <c r="P26" s="14"/>
      <c r="Q26" s="11" t="n">
        <f aca="false">SUM(O26-P26)</f>
        <v>0</v>
      </c>
    </row>
    <row r="27" customFormat="false" ht="15.75" hidden="false" customHeight="false" outlineLevel="0" collapsed="false">
      <c r="A27" s="14"/>
      <c r="B27" s="14"/>
      <c r="C27" s="14"/>
      <c r="D27" s="14"/>
      <c r="E27" s="11" t="n">
        <f aca="false">SUM(C27-D27)</f>
        <v>0</v>
      </c>
      <c r="G27" s="14"/>
      <c r="H27" s="14"/>
      <c r="I27" s="14"/>
      <c r="J27" s="14"/>
      <c r="K27" s="11" t="n">
        <f aca="false">SUM(I27-J27)</f>
        <v>0</v>
      </c>
      <c r="M27" s="14"/>
      <c r="N27" s="14"/>
      <c r="O27" s="14"/>
      <c r="P27" s="14"/>
      <c r="Q27" s="11" t="n">
        <f aca="false">SUM(O27-P27)</f>
        <v>0</v>
      </c>
    </row>
    <row r="28" customFormat="false" ht="15.75" hidden="false" customHeight="false" outlineLevel="0" collapsed="false">
      <c r="A28" s="14"/>
      <c r="B28" s="14"/>
      <c r="C28" s="14"/>
      <c r="D28" s="14"/>
      <c r="E28" s="11" t="n">
        <f aca="false">SUM(C28-D28)</f>
        <v>0</v>
      </c>
      <c r="G28" s="14"/>
      <c r="H28" s="14"/>
      <c r="I28" s="14"/>
      <c r="J28" s="14"/>
      <c r="K28" s="11" t="n">
        <f aca="false">SUM(I28-J28)</f>
        <v>0</v>
      </c>
      <c r="M28" s="14"/>
      <c r="N28" s="14"/>
      <c r="O28" s="14"/>
      <c r="P28" s="14"/>
      <c r="Q28" s="11" t="n">
        <f aca="false">SUM(O28-P28)</f>
        <v>0</v>
      </c>
    </row>
    <row r="29" customFormat="false" ht="15.75" hidden="false" customHeight="false" outlineLevel="0" collapsed="false">
      <c r="A29" s="14"/>
      <c r="B29" s="14"/>
      <c r="C29" s="14"/>
      <c r="D29" s="14"/>
      <c r="E29" s="11" t="n">
        <f aca="false">SUM(C29-D29)</f>
        <v>0</v>
      </c>
      <c r="G29" s="14"/>
      <c r="H29" s="14"/>
      <c r="I29" s="14"/>
      <c r="J29" s="14"/>
      <c r="K29" s="11" t="n">
        <f aca="false">SUM(I29-J29)</f>
        <v>0</v>
      </c>
      <c r="M29" s="14"/>
      <c r="N29" s="14"/>
      <c r="O29" s="14"/>
      <c r="P29" s="14"/>
      <c r="Q29" s="11" t="n">
        <f aca="false">SUM(O29-P29)</f>
        <v>0</v>
      </c>
    </row>
    <row r="30" customFormat="false" ht="15.75" hidden="false" customHeight="false" outlineLevel="0" collapsed="false">
      <c r="A30" s="14"/>
      <c r="B30" s="14"/>
      <c r="C30" s="14"/>
      <c r="D30" s="14"/>
      <c r="E30" s="11" t="n">
        <f aca="false">SUM(C30-D30)</f>
        <v>0</v>
      </c>
      <c r="G30" s="14"/>
      <c r="H30" s="14"/>
      <c r="I30" s="14"/>
      <c r="J30" s="14"/>
      <c r="K30" s="11" t="n">
        <f aca="false">SUM(I30-J30)</f>
        <v>0</v>
      </c>
      <c r="M30" s="14"/>
      <c r="N30" s="14"/>
      <c r="O30" s="14"/>
      <c r="P30" s="14"/>
      <c r="Q30" s="11" t="n">
        <f aca="false">SUM(O30-P30)</f>
        <v>0</v>
      </c>
    </row>
    <row r="31" customFormat="false" ht="15.75" hidden="false" customHeight="false" outlineLevel="0" collapsed="false">
      <c r="A31" s="14"/>
      <c r="B31" s="14"/>
      <c r="C31" s="14"/>
      <c r="D31" s="14"/>
      <c r="E31" s="11" t="n">
        <f aca="false">SUM(C31-D31)</f>
        <v>0</v>
      </c>
      <c r="G31" s="14"/>
      <c r="H31" s="14"/>
      <c r="I31" s="14"/>
      <c r="J31" s="14"/>
      <c r="K31" s="11" t="n">
        <f aca="false">SUM(I31-J31)</f>
        <v>0</v>
      </c>
      <c r="M31" s="14"/>
      <c r="N31" s="14"/>
      <c r="O31" s="14"/>
      <c r="P31" s="14"/>
      <c r="Q31" s="11" t="n">
        <f aca="false">SUM(O31-P31)</f>
        <v>0</v>
      </c>
    </row>
    <row r="32" customFormat="false" ht="15.75" hidden="false" customHeight="false" outlineLevel="0" collapsed="false">
      <c r="A32" s="14"/>
      <c r="B32" s="14"/>
      <c r="C32" s="14"/>
      <c r="D32" s="14"/>
      <c r="E32" s="11" t="n">
        <f aca="false">SUM(C32-D32)</f>
        <v>0</v>
      </c>
      <c r="G32" s="14"/>
      <c r="H32" s="14"/>
      <c r="I32" s="14"/>
      <c r="J32" s="14"/>
      <c r="K32" s="11" t="n">
        <f aca="false">SUM(I32-J32)</f>
        <v>0</v>
      </c>
      <c r="M32" s="14"/>
      <c r="N32" s="14"/>
      <c r="O32" s="14"/>
      <c r="P32" s="14"/>
      <c r="Q32" s="11" t="n">
        <f aca="false">SUM(O32-P32)</f>
        <v>0</v>
      </c>
    </row>
    <row r="33" customFormat="false" ht="15.75" hidden="false" customHeight="false" outlineLevel="0" collapsed="false">
      <c r="A33" s="14"/>
      <c r="B33" s="14"/>
      <c r="C33" s="14"/>
      <c r="D33" s="14"/>
      <c r="E33" s="11" t="n">
        <f aca="false">SUM(C33-D33)</f>
        <v>0</v>
      </c>
      <c r="G33" s="14"/>
      <c r="H33" s="14"/>
      <c r="I33" s="14"/>
      <c r="J33" s="14"/>
      <c r="K33" s="11" t="n">
        <f aca="false">SUM(I33-J33)</f>
        <v>0</v>
      </c>
      <c r="M33" s="14"/>
      <c r="N33" s="14"/>
      <c r="O33" s="14"/>
      <c r="P33" s="14"/>
      <c r="Q33" s="11" t="n">
        <f aca="false">SUM(O33-P33)</f>
        <v>0</v>
      </c>
    </row>
    <row r="34" customFormat="false" ht="15.75" hidden="false" customHeight="false" outlineLevel="0" collapsed="false">
      <c r="A34" s="14"/>
      <c r="B34" s="14"/>
      <c r="C34" s="14"/>
      <c r="D34" s="14"/>
      <c r="E34" s="11" t="n">
        <f aca="false">SUM(C34-D34)</f>
        <v>0</v>
      </c>
      <c r="G34" s="14"/>
      <c r="H34" s="14"/>
      <c r="I34" s="14"/>
      <c r="J34" s="14"/>
      <c r="K34" s="11" t="n">
        <f aca="false">SUM(I34-J34)</f>
        <v>0</v>
      </c>
      <c r="M34" s="14"/>
      <c r="N34" s="14"/>
      <c r="O34" s="14"/>
      <c r="P34" s="14"/>
      <c r="Q34" s="11" t="n">
        <f aca="false">SUM(O34-P34)</f>
        <v>0</v>
      </c>
    </row>
    <row r="35" customFormat="false" ht="15.75" hidden="false" customHeight="false" outlineLevel="0" collapsed="false">
      <c r="A35" s="14"/>
      <c r="B35" s="14"/>
      <c r="C35" s="14"/>
      <c r="D35" s="14"/>
      <c r="E35" s="11" t="n">
        <f aca="false">SUM(C35-D35)</f>
        <v>0</v>
      </c>
      <c r="G35" s="14"/>
      <c r="H35" s="14"/>
      <c r="I35" s="14"/>
      <c r="J35" s="14"/>
      <c r="K35" s="11" t="n">
        <f aca="false">SUM(I35-J35)</f>
        <v>0</v>
      </c>
      <c r="M35" s="14"/>
      <c r="N35" s="14"/>
      <c r="O35" s="14"/>
      <c r="P35" s="14"/>
      <c r="Q35" s="11" t="n">
        <f aca="false">SUM(O35-P35)</f>
        <v>0</v>
      </c>
    </row>
    <row r="36" customFormat="false" ht="15.75" hidden="false" customHeight="false" outlineLevel="0" collapsed="false">
      <c r="A36" s="14"/>
      <c r="B36" s="14"/>
      <c r="C36" s="14"/>
      <c r="D36" s="14"/>
      <c r="E36" s="11" t="n">
        <f aca="false">SUM(C36-D36)</f>
        <v>0</v>
      </c>
      <c r="G36" s="14"/>
      <c r="H36" s="14"/>
      <c r="I36" s="14"/>
      <c r="J36" s="14"/>
      <c r="K36" s="11" t="n">
        <f aca="false">SUM(I36-J36)</f>
        <v>0</v>
      </c>
      <c r="M36" s="14"/>
      <c r="N36" s="14"/>
      <c r="O36" s="14"/>
      <c r="P36" s="14"/>
      <c r="Q36" s="11" t="n">
        <f aca="false">SUM(O36-P36)</f>
        <v>0</v>
      </c>
    </row>
    <row r="37" customFormat="false" ht="15.75" hidden="false" customHeight="false" outlineLevel="0" collapsed="false">
      <c r="A37" s="14"/>
      <c r="B37" s="14"/>
      <c r="C37" s="14"/>
      <c r="D37" s="14"/>
      <c r="E37" s="11" t="n">
        <f aca="false">SUM(C37-D37)</f>
        <v>0</v>
      </c>
      <c r="G37" s="14"/>
      <c r="H37" s="14"/>
      <c r="I37" s="14"/>
      <c r="J37" s="14"/>
      <c r="K37" s="11" t="n">
        <f aca="false">SUM(I37-J37)</f>
        <v>0</v>
      </c>
      <c r="M37" s="14"/>
      <c r="N37" s="14"/>
      <c r="O37" s="14"/>
      <c r="P37" s="14"/>
      <c r="Q37" s="11" t="n">
        <f aca="false">SUM(O37-P37)</f>
        <v>0</v>
      </c>
    </row>
    <row r="38" customFormat="false" ht="15.75" hidden="false" customHeight="false" outlineLevel="0" collapsed="false">
      <c r="A38" s="14"/>
      <c r="B38" s="14"/>
      <c r="C38" s="14"/>
      <c r="D38" s="14"/>
      <c r="E38" s="11" t="n">
        <f aca="false">SUM(C38-D38)</f>
        <v>0</v>
      </c>
      <c r="G38" s="14"/>
      <c r="H38" s="14"/>
      <c r="I38" s="14"/>
      <c r="J38" s="14"/>
      <c r="K38" s="11" t="n">
        <f aca="false">SUM(I38-J38)</f>
        <v>0</v>
      </c>
      <c r="M38" s="14"/>
      <c r="N38" s="14"/>
      <c r="O38" s="14"/>
      <c r="P38" s="14"/>
      <c r="Q38" s="11" t="n">
        <f aca="false">SUM(O38-P38)</f>
        <v>0</v>
      </c>
    </row>
    <row r="39" customFormat="false" ht="15.75" hidden="false" customHeight="false" outlineLevel="0" collapsed="false">
      <c r="A39" s="14"/>
      <c r="B39" s="14"/>
      <c r="C39" s="14"/>
      <c r="D39" s="14"/>
      <c r="E39" s="11" t="n">
        <f aca="false">SUM(C39-D39)</f>
        <v>0</v>
      </c>
      <c r="G39" s="14"/>
      <c r="H39" s="14"/>
      <c r="I39" s="14"/>
      <c r="J39" s="14"/>
      <c r="K39" s="11" t="n">
        <f aca="false">SUM(I39-J39)</f>
        <v>0</v>
      </c>
      <c r="M39" s="14"/>
      <c r="N39" s="14"/>
      <c r="O39" s="14"/>
      <c r="P39" s="14"/>
      <c r="Q39" s="11" t="n">
        <f aca="false">SUM(O39-P39)</f>
        <v>0</v>
      </c>
    </row>
    <row r="40" customFormat="false" ht="15.75" hidden="false" customHeight="false" outlineLevel="0" collapsed="false">
      <c r="A40" s="14"/>
      <c r="B40" s="14"/>
      <c r="C40" s="14"/>
      <c r="D40" s="14"/>
      <c r="E40" s="11" t="n">
        <f aca="false">SUM(C40-D40)</f>
        <v>0</v>
      </c>
      <c r="G40" s="14"/>
      <c r="H40" s="14"/>
      <c r="I40" s="14"/>
      <c r="J40" s="14"/>
      <c r="K40" s="11" t="n">
        <f aca="false">SUM(I40-J40)</f>
        <v>0</v>
      </c>
      <c r="M40" s="14"/>
      <c r="N40" s="14"/>
      <c r="O40" s="14"/>
      <c r="P40" s="14"/>
      <c r="Q40" s="11" t="n">
        <f aca="false">SUM(O40-P40)</f>
        <v>0</v>
      </c>
    </row>
    <row r="41" customFormat="false" ht="15.75" hidden="false" customHeight="false" outlineLevel="0" collapsed="false">
      <c r="A41" s="14"/>
      <c r="B41" s="14"/>
      <c r="C41" s="14"/>
      <c r="D41" s="14"/>
      <c r="E41" s="11" t="n">
        <f aca="false">SUM(C41-D41)</f>
        <v>0</v>
      </c>
      <c r="G41" s="14"/>
      <c r="H41" s="14"/>
      <c r="I41" s="14"/>
      <c r="J41" s="14"/>
      <c r="K41" s="11" t="n">
        <f aca="false">SUM(I41-J41)</f>
        <v>0</v>
      </c>
      <c r="M41" s="14"/>
      <c r="N41" s="14"/>
      <c r="O41" s="14"/>
      <c r="P41" s="14"/>
      <c r="Q41" s="11" t="n">
        <f aca="false">SUM(O41-P41)</f>
        <v>0</v>
      </c>
    </row>
    <row r="42" customFormat="false" ht="15.75" hidden="false" customHeight="false" outlineLevel="0" collapsed="false">
      <c r="A42" s="14"/>
      <c r="B42" s="14"/>
      <c r="C42" s="14"/>
      <c r="D42" s="14"/>
      <c r="E42" s="11" t="n">
        <f aca="false">SUM(C42-D42)</f>
        <v>0</v>
      </c>
      <c r="G42" s="14"/>
      <c r="H42" s="14"/>
      <c r="I42" s="14"/>
      <c r="J42" s="14"/>
      <c r="K42" s="11" t="n">
        <f aca="false">SUM(I42-J42)</f>
        <v>0</v>
      </c>
      <c r="M42" s="14"/>
      <c r="N42" s="14"/>
      <c r="O42" s="14"/>
      <c r="P42" s="14"/>
      <c r="Q42" s="11" t="n">
        <f aca="false">SUM(O42-P42)</f>
        <v>0</v>
      </c>
    </row>
    <row r="43" customFormat="false" ht="15.75" hidden="false" customHeight="false" outlineLevel="0" collapsed="false">
      <c r="A43" s="14"/>
      <c r="B43" s="14"/>
      <c r="C43" s="14"/>
      <c r="D43" s="14"/>
      <c r="E43" s="11" t="n">
        <f aca="false">SUM(C43-D43)</f>
        <v>0</v>
      </c>
      <c r="G43" s="14"/>
      <c r="H43" s="14"/>
      <c r="I43" s="14"/>
      <c r="J43" s="14"/>
      <c r="K43" s="11" t="n">
        <f aca="false">SUM(I43-J43)</f>
        <v>0</v>
      </c>
      <c r="M43" s="14"/>
      <c r="N43" s="14"/>
      <c r="O43" s="14"/>
      <c r="P43" s="14"/>
      <c r="Q43" s="11" t="n">
        <f aca="false">SUM(O43-P43)</f>
        <v>0</v>
      </c>
    </row>
    <row r="44" customFormat="false" ht="15.75" hidden="false" customHeight="false" outlineLevel="0" collapsed="false">
      <c r="A44" s="14"/>
      <c r="B44" s="14"/>
      <c r="C44" s="14"/>
      <c r="D44" s="14"/>
      <c r="E44" s="11" t="n">
        <f aca="false">SUM(C44-D44)</f>
        <v>0</v>
      </c>
      <c r="G44" s="14"/>
      <c r="H44" s="14"/>
      <c r="I44" s="14"/>
      <c r="J44" s="14"/>
      <c r="K44" s="11" t="n">
        <f aca="false">SUM(I44-J44)</f>
        <v>0</v>
      </c>
      <c r="M44" s="14"/>
      <c r="N44" s="14"/>
      <c r="O44" s="14"/>
      <c r="P44" s="14"/>
      <c r="Q44" s="11" t="n">
        <f aca="false">SUM(O44-P44)</f>
        <v>0</v>
      </c>
    </row>
    <row r="45" customFormat="false" ht="15.75" hidden="false" customHeight="false" outlineLevel="0" collapsed="false">
      <c r="A45" s="14"/>
      <c r="B45" s="14"/>
      <c r="C45" s="14"/>
      <c r="D45" s="14"/>
      <c r="E45" s="11" t="n">
        <f aca="false">SUM(C45-D45)</f>
        <v>0</v>
      </c>
      <c r="G45" s="14"/>
      <c r="H45" s="14"/>
      <c r="I45" s="14"/>
      <c r="J45" s="14"/>
      <c r="K45" s="11" t="n">
        <f aca="false">SUM(I45-J45)</f>
        <v>0</v>
      </c>
      <c r="M45" s="14"/>
      <c r="N45" s="14"/>
      <c r="O45" s="14"/>
      <c r="P45" s="14"/>
      <c r="Q45" s="11" t="n">
        <f aca="false">SUM(O45-P45)</f>
        <v>0</v>
      </c>
    </row>
    <row r="46" customFormat="false" ht="15.75" hidden="false" customHeight="false" outlineLevel="0" collapsed="false">
      <c r="A46" s="14"/>
      <c r="B46" s="14"/>
      <c r="C46" s="14"/>
      <c r="D46" s="14"/>
      <c r="E46" s="11" t="n">
        <f aca="false">SUM(C46-D46)</f>
        <v>0</v>
      </c>
      <c r="G46" s="14"/>
      <c r="H46" s="14"/>
      <c r="I46" s="14"/>
      <c r="J46" s="14"/>
      <c r="K46" s="11" t="n">
        <f aca="false">SUM(I46-J46)</f>
        <v>0</v>
      </c>
      <c r="M46" s="14"/>
      <c r="N46" s="14"/>
      <c r="O46" s="14"/>
      <c r="P46" s="14"/>
      <c r="Q46" s="11" t="n">
        <f aca="false">SUM(O46-P46)</f>
        <v>0</v>
      </c>
    </row>
    <row r="47" customFormat="false" ht="15.75" hidden="false" customHeight="false" outlineLevel="0" collapsed="false">
      <c r="A47" s="14"/>
      <c r="B47" s="14"/>
      <c r="C47" s="14"/>
      <c r="D47" s="14"/>
      <c r="E47" s="11" t="n">
        <f aca="false">SUM(C47-D47)</f>
        <v>0</v>
      </c>
      <c r="G47" s="14"/>
      <c r="H47" s="14"/>
      <c r="I47" s="14"/>
      <c r="J47" s="14"/>
      <c r="K47" s="11" t="n">
        <f aca="false">SUM(I47-J47)</f>
        <v>0</v>
      </c>
      <c r="M47" s="14"/>
      <c r="N47" s="14"/>
      <c r="O47" s="14"/>
      <c r="P47" s="14"/>
      <c r="Q47" s="11" t="n">
        <f aca="false">SUM(O47-P47)</f>
        <v>0</v>
      </c>
    </row>
    <row r="48" customFormat="false" ht="15.75" hidden="false" customHeight="false" outlineLevel="0" collapsed="false">
      <c r="A48" s="14"/>
      <c r="B48" s="14"/>
      <c r="C48" s="14"/>
      <c r="D48" s="14"/>
      <c r="E48" s="11" t="n">
        <f aca="false">SUM(C48-D48)</f>
        <v>0</v>
      </c>
      <c r="G48" s="14"/>
      <c r="H48" s="14"/>
      <c r="I48" s="14"/>
      <c r="J48" s="14"/>
      <c r="K48" s="11" t="n">
        <f aca="false">SUM(I48-J48)</f>
        <v>0</v>
      </c>
      <c r="M48" s="14"/>
      <c r="N48" s="14"/>
      <c r="O48" s="14"/>
      <c r="P48" s="14"/>
      <c r="Q48" s="11" t="n">
        <f aca="false">SUM(O48-P48)</f>
        <v>0</v>
      </c>
    </row>
    <row r="49" customFormat="false" ht="15.75" hidden="false" customHeight="false" outlineLevel="0" collapsed="false">
      <c r="A49" s="14"/>
      <c r="B49" s="14"/>
      <c r="C49" s="14"/>
      <c r="D49" s="14"/>
      <c r="E49" s="11" t="n">
        <f aca="false">SUM(C49-D49)</f>
        <v>0</v>
      </c>
      <c r="G49" s="14"/>
      <c r="H49" s="14"/>
      <c r="I49" s="14"/>
      <c r="J49" s="14"/>
      <c r="K49" s="11" t="n">
        <f aca="false">SUM(I49-J49)</f>
        <v>0</v>
      </c>
      <c r="M49" s="14"/>
      <c r="N49" s="14"/>
      <c r="O49" s="14"/>
      <c r="P49" s="14"/>
      <c r="Q49" s="11" t="n">
        <f aca="false">SUM(O49-P49)</f>
        <v>0</v>
      </c>
    </row>
    <row r="50" customFormat="false" ht="15.75" hidden="false" customHeight="false" outlineLevel="0" collapsed="false">
      <c r="A50" s="14"/>
      <c r="B50" s="14"/>
      <c r="C50" s="14"/>
      <c r="D50" s="14"/>
      <c r="E50" s="11" t="n">
        <f aca="false">SUM(C50-D50)</f>
        <v>0</v>
      </c>
      <c r="G50" s="14"/>
      <c r="H50" s="14"/>
      <c r="I50" s="14"/>
      <c r="J50" s="14"/>
      <c r="K50" s="11" t="n">
        <f aca="false">SUM(I50-J50)</f>
        <v>0</v>
      </c>
      <c r="M50" s="14"/>
      <c r="N50" s="14"/>
      <c r="O50" s="14"/>
      <c r="P50" s="14"/>
      <c r="Q50" s="11" t="n">
        <f aca="false">SUM(O50-P50)</f>
        <v>0</v>
      </c>
    </row>
    <row r="51" customFormat="false" ht="15.75" hidden="false" customHeight="false" outlineLevel="0" collapsed="false">
      <c r="A51" s="14"/>
      <c r="B51" s="14"/>
      <c r="C51" s="14"/>
      <c r="D51" s="14"/>
      <c r="E51" s="11" t="n">
        <f aca="false">SUM(C51-D51)</f>
        <v>0</v>
      </c>
      <c r="G51" s="14"/>
      <c r="H51" s="14"/>
      <c r="I51" s="14"/>
      <c r="J51" s="14"/>
      <c r="K51" s="11" t="n">
        <f aca="false">SUM(I51-J51)</f>
        <v>0</v>
      </c>
      <c r="M51" s="14"/>
      <c r="N51" s="14"/>
      <c r="O51" s="14"/>
      <c r="P51" s="14"/>
      <c r="Q51" s="11" t="n">
        <f aca="false">SUM(O51-P51)</f>
        <v>0</v>
      </c>
    </row>
    <row r="52" customFormat="false" ht="15.75" hidden="false" customHeight="false" outlineLevel="0" collapsed="false">
      <c r="A52" s="14"/>
      <c r="B52" s="14"/>
      <c r="C52" s="14"/>
      <c r="D52" s="14"/>
      <c r="E52" s="11" t="n">
        <f aca="false">SUM(C52-D52)</f>
        <v>0</v>
      </c>
      <c r="G52" s="14"/>
      <c r="H52" s="14"/>
      <c r="I52" s="14"/>
      <c r="J52" s="14"/>
      <c r="K52" s="11" t="n">
        <f aca="false">SUM(I52-J52)</f>
        <v>0</v>
      </c>
      <c r="M52" s="14"/>
      <c r="N52" s="14"/>
      <c r="O52" s="14"/>
      <c r="P52" s="14"/>
      <c r="Q52" s="11" t="n">
        <f aca="false">SUM(O52-P52)</f>
        <v>0</v>
      </c>
    </row>
    <row r="53" customFormat="false" ht="15.75" hidden="false" customHeight="false" outlineLevel="0" collapsed="false"/>
    <row r="54" customFormat="false" ht="15.75" hidden="false" customHeight="false" outlineLevel="0" collapsed="false">
      <c r="C54" s="18" t="s">
        <v>24</v>
      </c>
      <c r="D54" s="18" t="s">
        <v>24</v>
      </c>
      <c r="E54" s="19" t="s">
        <v>24</v>
      </c>
      <c r="I54" s="18" t="s">
        <v>24</v>
      </c>
      <c r="J54" s="18" t="s">
        <v>24</v>
      </c>
      <c r="K54" s="19" t="s">
        <v>24</v>
      </c>
      <c r="O54" s="18" t="s">
        <v>24</v>
      </c>
      <c r="P54" s="18" t="s">
        <v>24</v>
      </c>
      <c r="Q54" s="19" t="s">
        <v>24</v>
      </c>
    </row>
    <row r="55" customFormat="false" ht="15.75" hidden="false" customHeight="false" outlineLevel="0" collapsed="false">
      <c r="C55" s="11" t="n">
        <f aca="false">SUM(C4:C52)</f>
        <v>0</v>
      </c>
      <c r="D55" s="11" t="n">
        <f aca="false">SUM(D4:D52)</f>
        <v>33.5</v>
      </c>
      <c r="E55" s="11" t="n">
        <f aca="false">SUM(E4:E52)</f>
        <v>-33.5</v>
      </c>
      <c r="I55" s="11" t="n">
        <f aca="false">SUM(I4:I52)</f>
        <v>1509</v>
      </c>
      <c r="J55" s="11" t="n">
        <f aca="false">SUM(J4:J52)</f>
        <v>4297.6</v>
      </c>
      <c r="K55" s="11" t="n">
        <f aca="false">SUM(K4:K52)</f>
        <v>-2788.6</v>
      </c>
      <c r="O55" s="11" t="n">
        <f aca="false">SUM(O4:O52)</f>
        <v>9.5</v>
      </c>
      <c r="P55" s="11" t="n">
        <f aca="false">SUM(P4:P52)</f>
        <v>0</v>
      </c>
      <c r="Q55" s="11" t="n">
        <f aca="false">SUM(Q4:Q52)</f>
        <v>9.5</v>
      </c>
    </row>
    <row r="61" customFormat="false" ht="15" hidden="false" customHeight="false" outlineLevel="0" collapsed="false">
      <c r="A61" s="20"/>
      <c r="C61" s="21"/>
      <c r="D61" s="21"/>
      <c r="G61" s="20"/>
      <c r="I61" s="21"/>
      <c r="J61" s="21"/>
      <c r="M61" s="20"/>
      <c r="O61" s="21"/>
      <c r="P61" s="21"/>
    </row>
    <row r="62" customFormat="false" ht="15" hidden="false" customHeight="false" outlineLevel="0" collapsed="false">
      <c r="A62" s="20"/>
      <c r="C62" s="22"/>
      <c r="G62" s="20"/>
      <c r="I62" s="22"/>
      <c r="M62" s="20"/>
      <c r="O62" s="22"/>
    </row>
  </sheetData>
  <mergeCells count="3">
    <mergeCell ref="A1:E2"/>
    <mergeCell ref="G1:K2"/>
    <mergeCell ref="M1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N44" activeCellId="0" sqref="N4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13.57"/>
    <col collapsed="false" customWidth="true" hidden="false" outlineLevel="0" max="10" min="10" style="0" width="13.71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0" width="13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25</v>
      </c>
      <c r="N1" s="1"/>
      <c r="O1" s="1"/>
      <c r="P1" s="1"/>
      <c r="Q1" s="1"/>
    </row>
    <row r="2" customFormat="false" ht="15.75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  <c r="K2" s="1"/>
      <c r="M2" s="1"/>
      <c r="N2" s="1"/>
      <c r="O2" s="1"/>
      <c r="P2" s="1"/>
      <c r="Q2" s="1"/>
    </row>
    <row r="3" customFormat="false" ht="15.75" hidden="false" customHeight="false" outlineLevel="0" collapsed="false">
      <c r="A3" s="2" t="s">
        <v>3</v>
      </c>
      <c r="B3" s="3" t="s">
        <v>4</v>
      </c>
      <c r="C3" s="4" t="s">
        <v>5</v>
      </c>
      <c r="D3" s="4" t="s">
        <v>6</v>
      </c>
      <c r="E3" s="5" t="s">
        <v>7</v>
      </c>
      <c r="G3" s="6" t="s">
        <v>3</v>
      </c>
      <c r="H3" s="7" t="s">
        <v>4</v>
      </c>
      <c r="I3" s="8" t="s">
        <v>5</v>
      </c>
      <c r="J3" s="8" t="s">
        <v>6</v>
      </c>
      <c r="K3" s="9" t="s">
        <v>7</v>
      </c>
      <c r="M3" s="2" t="s">
        <v>3</v>
      </c>
      <c r="N3" s="3" t="s">
        <v>4</v>
      </c>
      <c r="O3" s="4" t="s">
        <v>5</v>
      </c>
      <c r="P3" s="4" t="s">
        <v>6</v>
      </c>
      <c r="Q3" s="5" t="s">
        <v>7</v>
      </c>
    </row>
    <row r="4" customFormat="false" ht="15.75" hidden="false" customHeight="false" outlineLevel="0" collapsed="false">
      <c r="A4" s="10" t="n">
        <v>45658</v>
      </c>
      <c r="B4" s="11" t="s">
        <v>15</v>
      </c>
      <c r="C4" s="11"/>
      <c r="D4" s="11" t="n">
        <v>4.2</v>
      </c>
      <c r="E4" s="11" t="n">
        <f aca="false">SUM(C4-D4)</f>
        <v>-4.2</v>
      </c>
      <c r="G4" s="12" t="n">
        <v>45659</v>
      </c>
      <c r="H4" s="13" t="s">
        <v>26</v>
      </c>
      <c r="I4" s="13" t="n">
        <v>50</v>
      </c>
      <c r="J4" s="13"/>
      <c r="K4" s="13" t="n">
        <f aca="false">SUM(I4-J4)</f>
        <v>50</v>
      </c>
      <c r="M4" s="10" t="n">
        <v>45658</v>
      </c>
      <c r="N4" s="11" t="s">
        <v>27</v>
      </c>
      <c r="O4" s="11" t="n">
        <v>10</v>
      </c>
      <c r="P4" s="11"/>
      <c r="Q4" s="11" t="n">
        <f aca="false">SUM(O4-P4)</f>
        <v>10</v>
      </c>
    </row>
    <row r="5" customFormat="false" ht="15.75" hidden="false" customHeight="false" outlineLevel="0" collapsed="false">
      <c r="A5" s="17" t="n">
        <v>45668</v>
      </c>
      <c r="B5" s="15" t="s">
        <v>28</v>
      </c>
      <c r="C5" s="15"/>
      <c r="D5" s="15" t="n">
        <v>15</v>
      </c>
      <c r="E5" s="11" t="n">
        <f aca="false">SUM(C5-D5)</f>
        <v>-15</v>
      </c>
      <c r="G5" s="12" t="n">
        <v>45659</v>
      </c>
      <c r="H5" s="15" t="s">
        <v>29</v>
      </c>
      <c r="I5" s="15"/>
      <c r="J5" s="15" t="n">
        <v>2</v>
      </c>
      <c r="K5" s="13" t="n">
        <f aca="false">SUM(I5-J5)</f>
        <v>-2</v>
      </c>
      <c r="M5" s="10" t="n">
        <v>45666</v>
      </c>
      <c r="N5" s="14" t="s">
        <v>30</v>
      </c>
      <c r="O5" s="14" t="n">
        <v>210</v>
      </c>
      <c r="P5" s="14"/>
      <c r="Q5" s="11" t="n">
        <f aca="false">SUM(O5-P5)</f>
        <v>210</v>
      </c>
    </row>
    <row r="6" customFormat="false" ht="15.75" hidden="false" customHeight="false" outlineLevel="0" collapsed="false">
      <c r="A6" s="10" t="n">
        <v>45669</v>
      </c>
      <c r="B6" s="14" t="s">
        <v>31</v>
      </c>
      <c r="C6" s="14"/>
      <c r="D6" s="14" t="n">
        <v>0.4</v>
      </c>
      <c r="E6" s="11" t="n">
        <f aca="false">SUM(C6-D6)</f>
        <v>-0.4</v>
      </c>
      <c r="G6" s="12" t="n">
        <v>45659</v>
      </c>
      <c r="H6" s="15" t="s">
        <v>21</v>
      </c>
      <c r="I6" s="15"/>
      <c r="J6" s="15" t="n">
        <v>8</v>
      </c>
      <c r="K6" s="13" t="n">
        <f aca="false">SUM(I6-J6)</f>
        <v>-8</v>
      </c>
      <c r="M6" s="10" t="n">
        <v>45666</v>
      </c>
      <c r="N6" s="14" t="s">
        <v>32</v>
      </c>
      <c r="O6" s="14" t="n">
        <v>10</v>
      </c>
      <c r="P6" s="14"/>
      <c r="Q6" s="11" t="n">
        <f aca="false">SUM(O6-P6)</f>
        <v>10</v>
      </c>
    </row>
    <row r="7" customFormat="false" ht="15.75" hidden="false" customHeight="false" outlineLevel="0" collapsed="false">
      <c r="A7" s="16" t="n">
        <v>45677</v>
      </c>
      <c r="B7" s="14" t="s">
        <v>33</v>
      </c>
      <c r="C7" s="14"/>
      <c r="D7" s="14" t="n">
        <v>0.5</v>
      </c>
      <c r="E7" s="11" t="n">
        <f aca="false">SUM(C7-D7)</f>
        <v>-0.5</v>
      </c>
      <c r="G7" s="17" t="n">
        <v>45659</v>
      </c>
      <c r="H7" s="15" t="s">
        <v>34</v>
      </c>
      <c r="I7" s="15"/>
      <c r="J7" s="15" t="n">
        <v>2.8</v>
      </c>
      <c r="K7" s="13" t="n">
        <f aca="false">SUM(I7-J7)</f>
        <v>-2.8</v>
      </c>
      <c r="M7" s="10" t="n">
        <v>45666</v>
      </c>
      <c r="N7" s="14" t="s">
        <v>35</v>
      </c>
      <c r="O7" s="14" t="n">
        <v>20</v>
      </c>
      <c r="P7" s="14"/>
      <c r="Q7" s="11" t="n">
        <f aca="false">SUM(O7-P7)</f>
        <v>20</v>
      </c>
    </row>
    <row r="8" customFormat="false" ht="15.75" hidden="false" customHeight="false" outlineLevel="0" collapsed="false">
      <c r="A8" s="16"/>
      <c r="B8" s="14"/>
      <c r="C8" s="14"/>
      <c r="D8" s="14"/>
      <c r="E8" s="11" t="n">
        <f aca="false">SUM(C8-D8)</f>
        <v>0</v>
      </c>
      <c r="G8" s="17" t="n">
        <v>45660</v>
      </c>
      <c r="H8" s="15" t="s">
        <v>34</v>
      </c>
      <c r="I8" s="15"/>
      <c r="J8" s="15" t="n">
        <v>2.8</v>
      </c>
      <c r="K8" s="13" t="n">
        <f aca="false">SUM(I8-J8)</f>
        <v>-2.8</v>
      </c>
      <c r="M8" s="16" t="n">
        <v>45673</v>
      </c>
      <c r="N8" s="14" t="s">
        <v>36</v>
      </c>
      <c r="O8" s="14" t="n">
        <v>10</v>
      </c>
      <c r="P8" s="14"/>
      <c r="Q8" s="11" t="n">
        <f aca="false">SUM(O8-P8)</f>
        <v>10</v>
      </c>
    </row>
    <row r="9" customFormat="false" ht="15.75" hidden="false" customHeight="false" outlineLevel="0" collapsed="false">
      <c r="A9" s="14"/>
      <c r="B9" s="14"/>
      <c r="C9" s="14"/>
      <c r="D9" s="14"/>
      <c r="E9" s="11" t="n">
        <f aca="false">SUM(C9-D9)</f>
        <v>0</v>
      </c>
      <c r="G9" s="17" t="n">
        <v>45660</v>
      </c>
      <c r="H9" s="15" t="s">
        <v>37</v>
      </c>
      <c r="I9" s="15"/>
      <c r="J9" s="15" t="n">
        <v>11</v>
      </c>
      <c r="K9" s="13" t="n">
        <f aca="false">SUM(I9-J9)</f>
        <v>-11</v>
      </c>
      <c r="M9" s="16" t="n">
        <v>45680</v>
      </c>
      <c r="N9" s="14" t="s">
        <v>38</v>
      </c>
      <c r="O9" s="14" t="n">
        <v>10</v>
      </c>
      <c r="P9" s="14"/>
      <c r="Q9" s="11" t="n">
        <f aca="false">SUM(O9-P9)</f>
        <v>10</v>
      </c>
    </row>
    <row r="10" customFormat="false" ht="15.75" hidden="false" customHeight="false" outlineLevel="0" collapsed="false">
      <c r="A10" s="14"/>
      <c r="B10" s="14"/>
      <c r="C10" s="14"/>
      <c r="D10" s="14"/>
      <c r="E10" s="11" t="n">
        <f aca="false">SUM(C10-D10)</f>
        <v>0</v>
      </c>
      <c r="G10" s="17" t="n">
        <v>45660</v>
      </c>
      <c r="H10" s="15" t="s">
        <v>39</v>
      </c>
      <c r="I10" s="15"/>
      <c r="J10" s="15" t="n">
        <v>45</v>
      </c>
      <c r="K10" s="13" t="n">
        <f aca="false">SUM(I10-J10)</f>
        <v>-45</v>
      </c>
      <c r="M10" s="16" t="n">
        <v>45680</v>
      </c>
      <c r="N10" s="14" t="s">
        <v>40</v>
      </c>
      <c r="O10" s="14"/>
      <c r="P10" s="14" t="n">
        <v>10</v>
      </c>
      <c r="Q10" s="11" t="n">
        <f aca="false">SUM(O10-P10)</f>
        <v>-10</v>
      </c>
    </row>
    <row r="11" customFormat="false" ht="15.75" hidden="false" customHeight="false" outlineLevel="0" collapsed="false">
      <c r="A11" s="14"/>
      <c r="B11" s="14"/>
      <c r="C11" s="14"/>
      <c r="D11" s="14"/>
      <c r="E11" s="11" t="n">
        <f aca="false">SUM(C11-D11)</f>
        <v>0</v>
      </c>
      <c r="G11" s="17" t="n">
        <v>45660</v>
      </c>
      <c r="H11" s="15" t="s">
        <v>41</v>
      </c>
      <c r="I11" s="15"/>
      <c r="J11" s="15" t="n">
        <v>13</v>
      </c>
      <c r="K11" s="13" t="n">
        <f aca="false">SUM(I11-J11)</f>
        <v>-13</v>
      </c>
      <c r="M11" s="16" t="n">
        <v>45684</v>
      </c>
      <c r="N11" s="14" t="s">
        <v>27</v>
      </c>
      <c r="O11" s="14" t="n">
        <v>30</v>
      </c>
      <c r="P11" s="14"/>
      <c r="Q11" s="11" t="n">
        <f aca="false">SUM(O11-P11)</f>
        <v>30</v>
      </c>
    </row>
    <row r="12" customFormat="false" ht="15.75" hidden="false" customHeight="false" outlineLevel="0" collapsed="false">
      <c r="A12" s="14"/>
      <c r="B12" s="14"/>
      <c r="C12" s="14"/>
      <c r="D12" s="14"/>
      <c r="E12" s="11" t="n">
        <f aca="false">SUM(C12-D12)</f>
        <v>0</v>
      </c>
      <c r="G12" s="17" t="n">
        <v>45660</v>
      </c>
      <c r="H12" s="15" t="s">
        <v>42</v>
      </c>
      <c r="I12" s="15"/>
      <c r="J12" s="15" t="n">
        <v>1.5</v>
      </c>
      <c r="K12" s="13" t="n">
        <f aca="false">SUM(I12-J12)</f>
        <v>-1.5</v>
      </c>
      <c r="M12" s="16" t="n">
        <v>45685</v>
      </c>
      <c r="N12" s="14" t="s">
        <v>43</v>
      </c>
      <c r="O12" s="14" t="n">
        <v>10</v>
      </c>
      <c r="P12" s="14"/>
      <c r="Q12" s="11" t="n">
        <f aca="false">SUM(O12-P12)</f>
        <v>10</v>
      </c>
    </row>
    <row r="13" customFormat="false" ht="15.75" hidden="false" customHeight="false" outlineLevel="0" collapsed="false">
      <c r="A13" s="14"/>
      <c r="B13" s="14"/>
      <c r="C13" s="14"/>
      <c r="D13" s="14"/>
      <c r="E13" s="11" t="n">
        <f aca="false">SUM(C13-D13)</f>
        <v>0</v>
      </c>
      <c r="G13" s="17" t="n">
        <v>45667</v>
      </c>
      <c r="H13" s="15" t="s">
        <v>44</v>
      </c>
      <c r="I13" s="15"/>
      <c r="J13" s="15" t="n">
        <v>360</v>
      </c>
      <c r="K13" s="13" t="n">
        <f aca="false">SUM(I13-J13)</f>
        <v>-360</v>
      </c>
      <c r="M13" s="16" t="n">
        <v>45687</v>
      </c>
      <c r="N13" s="14" t="s">
        <v>36</v>
      </c>
      <c r="O13" s="14" t="n">
        <v>10</v>
      </c>
      <c r="P13" s="14"/>
      <c r="Q13" s="11" t="n">
        <f aca="false">SUM(O13-P13)</f>
        <v>10</v>
      </c>
    </row>
    <row r="14" customFormat="false" ht="15.75" hidden="false" customHeight="false" outlineLevel="0" collapsed="false">
      <c r="A14" s="14"/>
      <c r="B14" s="14"/>
      <c r="C14" s="14"/>
      <c r="D14" s="14"/>
      <c r="E14" s="11" t="n">
        <f aca="false">SUM(C14-D14)</f>
        <v>0</v>
      </c>
      <c r="G14" s="17" t="n">
        <v>45668</v>
      </c>
      <c r="H14" s="15" t="s">
        <v>23</v>
      </c>
      <c r="I14" s="15"/>
      <c r="J14" s="15" t="n">
        <v>3.1</v>
      </c>
      <c r="K14" s="13" t="n">
        <f aca="false">SUM(I14-J14)</f>
        <v>-3.1</v>
      </c>
      <c r="M14" s="14"/>
      <c r="N14" s="14"/>
      <c r="O14" s="14"/>
      <c r="P14" s="14"/>
      <c r="Q14" s="11" t="n">
        <f aca="false">SUM(O14-P14)</f>
        <v>0</v>
      </c>
    </row>
    <row r="15" customFormat="false" ht="15.75" hidden="false" customHeight="false" outlineLevel="0" collapsed="false">
      <c r="A15" s="14"/>
      <c r="B15" s="14"/>
      <c r="C15" s="14"/>
      <c r="D15" s="14"/>
      <c r="E15" s="11" t="n">
        <f aca="false">SUM(C15-D15)</f>
        <v>0</v>
      </c>
      <c r="G15" s="17" t="n">
        <v>45671</v>
      </c>
      <c r="H15" s="15" t="s">
        <v>45</v>
      </c>
      <c r="I15" s="15"/>
      <c r="J15" s="15" t="n">
        <v>1.5</v>
      </c>
      <c r="K15" s="13" t="n">
        <f aca="false">SUM(I15-J15)</f>
        <v>-1.5</v>
      </c>
      <c r="M15" s="14"/>
      <c r="N15" s="14"/>
      <c r="O15" s="14"/>
      <c r="P15" s="14"/>
      <c r="Q15" s="11" t="n">
        <f aca="false">SUM(O15-P15)</f>
        <v>0</v>
      </c>
    </row>
    <row r="16" customFormat="false" ht="15.75" hidden="false" customHeight="false" outlineLevel="0" collapsed="false">
      <c r="A16" s="14"/>
      <c r="B16" s="14"/>
      <c r="C16" s="14"/>
      <c r="D16" s="14"/>
      <c r="E16" s="11" t="n">
        <f aca="false">SUM(C16-D16)</f>
        <v>0</v>
      </c>
      <c r="G16" s="17" t="n">
        <v>45672</v>
      </c>
      <c r="H16" s="15" t="s">
        <v>46</v>
      </c>
      <c r="I16" s="15"/>
      <c r="J16" s="15" t="n">
        <v>2.4</v>
      </c>
      <c r="K16" s="13" t="n">
        <f aca="false">SUM(I16-J16)</f>
        <v>-2.4</v>
      </c>
      <c r="M16" s="14"/>
      <c r="N16" s="14"/>
      <c r="O16" s="14"/>
      <c r="P16" s="14"/>
      <c r="Q16" s="11" t="n">
        <f aca="false">SUM(O16-P16)</f>
        <v>0</v>
      </c>
    </row>
    <row r="17" customFormat="false" ht="15.75" hidden="false" customHeight="false" outlineLevel="0" collapsed="false">
      <c r="A17" s="14"/>
      <c r="B17" s="14"/>
      <c r="C17" s="14"/>
      <c r="D17" s="14"/>
      <c r="E17" s="11" t="n">
        <f aca="false">SUM(C17-D17)</f>
        <v>0</v>
      </c>
      <c r="G17" s="17" t="n">
        <v>45673</v>
      </c>
      <c r="H17" s="15" t="s">
        <v>18</v>
      </c>
      <c r="I17" s="15" t="n">
        <v>200</v>
      </c>
      <c r="J17" s="15"/>
      <c r="K17" s="13" t="n">
        <f aca="false">SUM(I17-J17)</f>
        <v>200</v>
      </c>
      <c r="M17" s="14"/>
      <c r="N17" s="14"/>
      <c r="O17" s="14"/>
      <c r="P17" s="14"/>
      <c r="Q17" s="11" t="n">
        <f aca="false">SUM(O17-P17)</f>
        <v>0</v>
      </c>
    </row>
    <row r="18" customFormat="false" ht="15.75" hidden="false" customHeight="false" outlineLevel="0" collapsed="false">
      <c r="A18" s="14"/>
      <c r="B18" s="14"/>
      <c r="C18" s="14"/>
      <c r="D18" s="14"/>
      <c r="E18" s="11" t="n">
        <f aca="false">SUM(C18-D18)</f>
        <v>0</v>
      </c>
      <c r="G18" s="17" t="n">
        <v>45676</v>
      </c>
      <c r="H18" s="15" t="s">
        <v>47</v>
      </c>
      <c r="I18" s="15"/>
      <c r="J18" s="15" t="n">
        <v>10</v>
      </c>
      <c r="K18" s="13" t="n">
        <f aca="false">SUM(I18-J18)</f>
        <v>-10</v>
      </c>
      <c r="M18" s="14"/>
      <c r="N18" s="14"/>
      <c r="O18" s="14"/>
      <c r="P18" s="14"/>
      <c r="Q18" s="11" t="n">
        <f aca="false">SUM(O18-P18)</f>
        <v>0</v>
      </c>
    </row>
    <row r="19" customFormat="false" ht="15.75" hidden="false" customHeight="false" outlineLevel="0" collapsed="false">
      <c r="A19" s="14"/>
      <c r="B19" s="14"/>
      <c r="C19" s="14"/>
      <c r="D19" s="14"/>
      <c r="E19" s="11" t="n">
        <f aca="false">SUM(C19-D19)</f>
        <v>0</v>
      </c>
      <c r="G19" s="17" t="n">
        <v>45676</v>
      </c>
      <c r="H19" s="15" t="s">
        <v>48</v>
      </c>
      <c r="I19" s="15"/>
      <c r="J19" s="15" t="n">
        <v>1530</v>
      </c>
      <c r="K19" s="13" t="n">
        <f aca="false">SUM(I19-J19)</f>
        <v>-1530</v>
      </c>
      <c r="M19" s="14"/>
      <c r="N19" s="14"/>
      <c r="O19" s="14"/>
      <c r="P19" s="14"/>
      <c r="Q19" s="11" t="n">
        <f aca="false">SUM(O19-P19)</f>
        <v>0</v>
      </c>
    </row>
    <row r="20" customFormat="false" ht="15.75" hidden="false" customHeight="false" outlineLevel="0" collapsed="false">
      <c r="A20" s="14"/>
      <c r="B20" s="14"/>
      <c r="C20" s="14"/>
      <c r="D20" s="14"/>
      <c r="E20" s="11" t="n">
        <f aca="false">SUM(C20-D20)</f>
        <v>0</v>
      </c>
      <c r="G20" s="17" t="n">
        <v>45677</v>
      </c>
      <c r="H20" s="15" t="s">
        <v>49</v>
      </c>
      <c r="I20" s="15"/>
      <c r="J20" s="15" t="n">
        <v>3</v>
      </c>
      <c r="K20" s="13" t="n">
        <f aca="false">SUM(I20-J20)</f>
        <v>-3</v>
      </c>
      <c r="M20" s="14"/>
      <c r="N20" s="14"/>
      <c r="O20" s="14"/>
      <c r="P20" s="14"/>
      <c r="Q20" s="11" t="n">
        <f aca="false">SUM(O20-P20)</f>
        <v>0</v>
      </c>
    </row>
    <row r="21" customFormat="false" ht="15.75" hidden="false" customHeight="false" outlineLevel="0" collapsed="false">
      <c r="A21" s="14"/>
      <c r="B21" s="14"/>
      <c r="C21" s="14"/>
      <c r="D21" s="14"/>
      <c r="E21" s="11" t="n">
        <f aca="false">SUM(C21-D21)</f>
        <v>0</v>
      </c>
      <c r="G21" s="17" t="n">
        <v>45684</v>
      </c>
      <c r="H21" s="15" t="s">
        <v>50</v>
      </c>
      <c r="I21" s="15"/>
      <c r="J21" s="15" t="n">
        <v>5</v>
      </c>
      <c r="K21" s="13" t="n">
        <f aca="false">SUM(I21-J21)</f>
        <v>-5</v>
      </c>
      <c r="M21" s="14"/>
      <c r="N21" s="14"/>
      <c r="O21" s="14"/>
      <c r="P21" s="14"/>
      <c r="Q21" s="11" t="n">
        <f aca="false">SUM(O21-P21)</f>
        <v>0</v>
      </c>
    </row>
    <row r="22" customFormat="false" ht="15.75" hidden="false" customHeight="false" outlineLevel="0" collapsed="false">
      <c r="A22" s="14"/>
      <c r="B22" s="14"/>
      <c r="C22" s="14"/>
      <c r="D22" s="14"/>
      <c r="E22" s="11" t="n">
        <f aca="false">SUM(C22-D22)</f>
        <v>0</v>
      </c>
      <c r="G22" s="16" t="n">
        <v>45684</v>
      </c>
      <c r="H22" s="14" t="s">
        <v>51</v>
      </c>
      <c r="I22" s="14"/>
      <c r="J22" s="14" t="n">
        <v>30</v>
      </c>
      <c r="K22" s="11" t="n">
        <f aca="false">SUM(I22-J22)</f>
        <v>-30</v>
      </c>
      <c r="M22" s="14"/>
      <c r="N22" s="14"/>
      <c r="O22" s="14"/>
      <c r="P22" s="14"/>
      <c r="Q22" s="11" t="n">
        <f aca="false">SUM(O22-P22)</f>
        <v>0</v>
      </c>
    </row>
    <row r="23" customFormat="false" ht="15.75" hidden="false" customHeight="false" outlineLevel="0" collapsed="false">
      <c r="A23" s="14"/>
      <c r="B23" s="14"/>
      <c r="C23" s="14"/>
      <c r="D23" s="14"/>
      <c r="E23" s="11" t="n">
        <f aca="false">SUM(C23-D23)</f>
        <v>0</v>
      </c>
      <c r="G23" s="16" t="n">
        <v>45684</v>
      </c>
      <c r="H23" s="14" t="s">
        <v>28</v>
      </c>
      <c r="I23" s="14"/>
      <c r="J23" s="14" t="n">
        <v>10</v>
      </c>
      <c r="K23" s="11" t="n">
        <f aca="false">SUM(I23-J23)</f>
        <v>-10</v>
      </c>
      <c r="M23" s="14"/>
      <c r="N23" s="14"/>
      <c r="O23" s="14"/>
      <c r="P23" s="14"/>
      <c r="Q23" s="11" t="n">
        <f aca="false">SUM(O23-P23)</f>
        <v>0</v>
      </c>
    </row>
    <row r="24" customFormat="false" ht="15.75" hidden="false" customHeight="false" outlineLevel="0" collapsed="false">
      <c r="A24" s="14"/>
      <c r="B24" s="14"/>
      <c r="C24" s="14"/>
      <c r="D24" s="14"/>
      <c r="E24" s="11" t="n">
        <f aca="false">SUM(C24-D24)</f>
        <v>0</v>
      </c>
      <c r="G24" s="14"/>
      <c r="H24" s="14"/>
      <c r="I24" s="14"/>
      <c r="J24" s="14"/>
      <c r="K24" s="11" t="n">
        <f aca="false">SUM(I24-J24)</f>
        <v>0</v>
      </c>
      <c r="M24" s="14"/>
      <c r="N24" s="14"/>
      <c r="O24" s="14"/>
      <c r="P24" s="14"/>
      <c r="Q24" s="11" t="n">
        <f aca="false">SUM(O24-P24)</f>
        <v>0</v>
      </c>
    </row>
    <row r="25" customFormat="false" ht="15.75" hidden="false" customHeight="false" outlineLevel="0" collapsed="false">
      <c r="A25" s="14"/>
      <c r="B25" s="14"/>
      <c r="C25" s="14"/>
      <c r="D25" s="14"/>
      <c r="E25" s="11" t="n">
        <f aca="false">SUM(C25-D25)</f>
        <v>0</v>
      </c>
      <c r="G25" s="14"/>
      <c r="H25" s="14"/>
      <c r="I25" s="14"/>
      <c r="J25" s="14"/>
      <c r="K25" s="11" t="n">
        <f aca="false">SUM(I25-J25)</f>
        <v>0</v>
      </c>
      <c r="M25" s="14"/>
      <c r="N25" s="14"/>
      <c r="O25" s="14"/>
      <c r="P25" s="14"/>
      <c r="Q25" s="11" t="n">
        <f aca="false">SUM(O25-P25)</f>
        <v>0</v>
      </c>
    </row>
    <row r="26" customFormat="false" ht="15.75" hidden="false" customHeight="false" outlineLevel="0" collapsed="false">
      <c r="A26" s="14"/>
      <c r="B26" s="14"/>
      <c r="C26" s="14"/>
      <c r="D26" s="14"/>
      <c r="E26" s="11" t="n">
        <f aca="false">SUM(C26-D26)</f>
        <v>0</v>
      </c>
      <c r="G26" s="14"/>
      <c r="H26" s="14"/>
      <c r="I26" s="14"/>
      <c r="J26" s="14"/>
      <c r="K26" s="11" t="n">
        <f aca="false">SUM(I26-J26)</f>
        <v>0</v>
      </c>
      <c r="M26" s="14"/>
      <c r="N26" s="14"/>
      <c r="O26" s="14"/>
      <c r="P26" s="14"/>
      <c r="Q26" s="11" t="n">
        <f aca="false">SUM(O26-P26)</f>
        <v>0</v>
      </c>
    </row>
    <row r="27" customFormat="false" ht="15.75" hidden="false" customHeight="false" outlineLevel="0" collapsed="false">
      <c r="A27" s="14"/>
      <c r="B27" s="14"/>
      <c r="C27" s="14"/>
      <c r="D27" s="14"/>
      <c r="E27" s="11" t="n">
        <f aca="false">SUM(C27-D27)</f>
        <v>0</v>
      </c>
      <c r="G27" s="14"/>
      <c r="H27" s="14"/>
      <c r="I27" s="14"/>
      <c r="J27" s="14"/>
      <c r="K27" s="11" t="n">
        <f aca="false">SUM(I27-J27)</f>
        <v>0</v>
      </c>
      <c r="M27" s="14"/>
      <c r="N27" s="14"/>
      <c r="O27" s="14"/>
      <c r="P27" s="14"/>
      <c r="Q27" s="11" t="n">
        <f aca="false">SUM(O27-P27)</f>
        <v>0</v>
      </c>
    </row>
    <row r="28" customFormat="false" ht="15.75" hidden="false" customHeight="false" outlineLevel="0" collapsed="false">
      <c r="A28" s="14"/>
      <c r="B28" s="14"/>
      <c r="C28" s="14"/>
      <c r="D28" s="14"/>
      <c r="E28" s="11" t="n">
        <f aca="false">SUM(C28-D28)</f>
        <v>0</v>
      </c>
      <c r="G28" s="14"/>
      <c r="H28" s="14"/>
      <c r="I28" s="14"/>
      <c r="J28" s="14"/>
      <c r="K28" s="11" t="n">
        <f aca="false">SUM(I28-J28)</f>
        <v>0</v>
      </c>
      <c r="M28" s="14"/>
      <c r="N28" s="14"/>
      <c r="O28" s="14"/>
      <c r="P28" s="14"/>
      <c r="Q28" s="11" t="n">
        <f aca="false">SUM(O28-P28)</f>
        <v>0</v>
      </c>
    </row>
    <row r="29" customFormat="false" ht="15.75" hidden="false" customHeight="false" outlineLevel="0" collapsed="false">
      <c r="A29" s="14"/>
      <c r="B29" s="14"/>
      <c r="C29" s="14"/>
      <c r="D29" s="14"/>
      <c r="E29" s="11" t="n">
        <f aca="false">SUM(C29-D29)</f>
        <v>0</v>
      </c>
      <c r="G29" s="14"/>
      <c r="H29" s="14"/>
      <c r="I29" s="14"/>
      <c r="J29" s="14"/>
      <c r="K29" s="11" t="n">
        <f aca="false">SUM(I29-J29)</f>
        <v>0</v>
      </c>
      <c r="M29" s="14"/>
      <c r="N29" s="14"/>
      <c r="O29" s="14"/>
      <c r="P29" s="14"/>
      <c r="Q29" s="11" t="n">
        <f aca="false">SUM(O29-P29)</f>
        <v>0</v>
      </c>
    </row>
    <row r="30" customFormat="false" ht="15.75" hidden="false" customHeight="false" outlineLevel="0" collapsed="false">
      <c r="A30" s="14"/>
      <c r="B30" s="14"/>
      <c r="C30" s="14"/>
      <c r="D30" s="14"/>
      <c r="E30" s="11" t="n">
        <f aca="false">SUM(C30-D30)</f>
        <v>0</v>
      </c>
      <c r="G30" s="14"/>
      <c r="H30" s="14"/>
      <c r="I30" s="14"/>
      <c r="J30" s="14"/>
      <c r="K30" s="11" t="n">
        <f aca="false">SUM(I30-J30)</f>
        <v>0</v>
      </c>
      <c r="M30" s="14"/>
      <c r="N30" s="14"/>
      <c r="O30" s="14"/>
      <c r="P30" s="14"/>
      <c r="Q30" s="11" t="n">
        <f aca="false">SUM(O30-P30)</f>
        <v>0</v>
      </c>
    </row>
    <row r="31" customFormat="false" ht="15.75" hidden="false" customHeight="false" outlineLevel="0" collapsed="false">
      <c r="A31" s="14"/>
      <c r="B31" s="14"/>
      <c r="C31" s="14"/>
      <c r="D31" s="14"/>
      <c r="E31" s="11" t="n">
        <f aca="false">SUM(C31-D31)</f>
        <v>0</v>
      </c>
      <c r="G31" s="14"/>
      <c r="H31" s="14"/>
      <c r="I31" s="14"/>
      <c r="J31" s="14"/>
      <c r="K31" s="11" t="n">
        <f aca="false">SUM(I31-J31)</f>
        <v>0</v>
      </c>
      <c r="M31" s="14"/>
      <c r="N31" s="14"/>
      <c r="O31" s="14"/>
      <c r="P31" s="14"/>
      <c r="Q31" s="11" t="n">
        <f aca="false">SUM(O31-P31)</f>
        <v>0</v>
      </c>
    </row>
    <row r="32" customFormat="false" ht="15.75" hidden="false" customHeight="false" outlineLevel="0" collapsed="false">
      <c r="A32" s="14"/>
      <c r="B32" s="14"/>
      <c r="C32" s="14"/>
      <c r="D32" s="14"/>
      <c r="E32" s="11" t="n">
        <f aca="false">SUM(C32-D32)</f>
        <v>0</v>
      </c>
      <c r="G32" s="14"/>
      <c r="H32" s="14"/>
      <c r="I32" s="14"/>
      <c r="J32" s="14"/>
      <c r="K32" s="11" t="n">
        <f aca="false">SUM(I32-J32)</f>
        <v>0</v>
      </c>
      <c r="M32" s="14"/>
      <c r="N32" s="14"/>
      <c r="O32" s="14"/>
      <c r="P32" s="14"/>
      <c r="Q32" s="11" t="n">
        <f aca="false">SUM(O32-P32)</f>
        <v>0</v>
      </c>
    </row>
    <row r="33" customFormat="false" ht="15.75" hidden="false" customHeight="false" outlineLevel="0" collapsed="false">
      <c r="A33" s="14"/>
      <c r="B33" s="14"/>
      <c r="C33" s="14"/>
      <c r="D33" s="14"/>
      <c r="E33" s="11" t="n">
        <f aca="false">SUM(C33-D33)</f>
        <v>0</v>
      </c>
      <c r="G33" s="14"/>
      <c r="H33" s="14"/>
      <c r="I33" s="14"/>
      <c r="J33" s="14"/>
      <c r="K33" s="11" t="n">
        <f aca="false">SUM(I33-J33)</f>
        <v>0</v>
      </c>
      <c r="M33" s="14"/>
      <c r="N33" s="14"/>
      <c r="O33" s="14"/>
      <c r="P33" s="14"/>
      <c r="Q33" s="11" t="n">
        <f aca="false">SUM(O33-P33)</f>
        <v>0</v>
      </c>
    </row>
    <row r="34" customFormat="false" ht="15.75" hidden="false" customHeight="false" outlineLevel="0" collapsed="false">
      <c r="A34" s="14"/>
      <c r="B34" s="14"/>
      <c r="C34" s="14"/>
      <c r="D34" s="14"/>
      <c r="E34" s="11" t="n">
        <f aca="false">SUM(C34-D34)</f>
        <v>0</v>
      </c>
      <c r="G34" s="14"/>
      <c r="H34" s="14"/>
      <c r="I34" s="14"/>
      <c r="J34" s="14"/>
      <c r="K34" s="11" t="n">
        <f aca="false">SUM(I34-J34)</f>
        <v>0</v>
      </c>
      <c r="M34" s="14"/>
      <c r="N34" s="14"/>
      <c r="O34" s="14"/>
      <c r="P34" s="14"/>
      <c r="Q34" s="11" t="n">
        <f aca="false">SUM(O34-P34)</f>
        <v>0</v>
      </c>
    </row>
    <row r="35" customFormat="false" ht="15.75" hidden="false" customHeight="false" outlineLevel="0" collapsed="false">
      <c r="A35" s="14"/>
      <c r="B35" s="14"/>
      <c r="C35" s="14"/>
      <c r="D35" s="14"/>
      <c r="E35" s="11" t="n">
        <f aca="false">SUM(C35-D35)</f>
        <v>0</v>
      </c>
      <c r="G35" s="14"/>
      <c r="H35" s="14"/>
      <c r="I35" s="14"/>
      <c r="J35" s="14"/>
      <c r="K35" s="11" t="n">
        <f aca="false">SUM(I35-J35)</f>
        <v>0</v>
      </c>
      <c r="M35" s="14"/>
      <c r="N35" s="14"/>
      <c r="O35" s="14"/>
      <c r="P35" s="14"/>
      <c r="Q35" s="11" t="n">
        <f aca="false">SUM(O35-P35)</f>
        <v>0</v>
      </c>
    </row>
    <row r="36" customFormat="false" ht="15.75" hidden="false" customHeight="false" outlineLevel="0" collapsed="false">
      <c r="A36" s="14"/>
      <c r="B36" s="14"/>
      <c r="C36" s="14"/>
      <c r="D36" s="14"/>
      <c r="E36" s="11" t="n">
        <f aca="false">SUM(C36-D36)</f>
        <v>0</v>
      </c>
      <c r="G36" s="14"/>
      <c r="H36" s="14"/>
      <c r="I36" s="14"/>
      <c r="J36" s="14"/>
      <c r="K36" s="11" t="n">
        <f aca="false">SUM(I36-J36)</f>
        <v>0</v>
      </c>
      <c r="M36" s="14"/>
      <c r="N36" s="14"/>
      <c r="O36" s="14"/>
      <c r="P36" s="14"/>
      <c r="Q36" s="11" t="n">
        <f aca="false">SUM(O36-P36)</f>
        <v>0</v>
      </c>
    </row>
    <row r="37" customFormat="false" ht="15.75" hidden="false" customHeight="false" outlineLevel="0" collapsed="false">
      <c r="A37" s="14"/>
      <c r="B37" s="14"/>
      <c r="C37" s="14"/>
      <c r="D37" s="14"/>
      <c r="E37" s="11" t="n">
        <f aca="false">SUM(C37-D37)</f>
        <v>0</v>
      </c>
      <c r="G37" s="14"/>
      <c r="H37" s="14"/>
      <c r="I37" s="14"/>
      <c r="J37" s="14"/>
      <c r="K37" s="11" t="n">
        <f aca="false">SUM(I37-J37)</f>
        <v>0</v>
      </c>
      <c r="M37" s="14"/>
      <c r="N37" s="14"/>
      <c r="O37" s="14"/>
      <c r="P37" s="14"/>
      <c r="Q37" s="11" t="n">
        <f aca="false">SUM(O37-P37)</f>
        <v>0</v>
      </c>
    </row>
    <row r="38" customFormat="false" ht="15.75" hidden="false" customHeight="false" outlineLevel="0" collapsed="false">
      <c r="A38" s="14"/>
      <c r="B38" s="14"/>
      <c r="C38" s="14"/>
      <c r="D38" s="14"/>
      <c r="E38" s="11" t="n">
        <f aca="false">SUM(C38-D38)</f>
        <v>0</v>
      </c>
      <c r="G38" s="14"/>
      <c r="H38" s="14"/>
      <c r="I38" s="14"/>
      <c r="J38" s="14"/>
      <c r="K38" s="11" t="n">
        <f aca="false">SUM(I38-J38)</f>
        <v>0</v>
      </c>
      <c r="M38" s="14"/>
      <c r="N38" s="14"/>
      <c r="O38" s="14"/>
      <c r="P38" s="14"/>
      <c r="Q38" s="11" t="n">
        <f aca="false">SUM(O38-P38)</f>
        <v>0</v>
      </c>
    </row>
    <row r="39" customFormat="false" ht="15.75" hidden="false" customHeight="false" outlineLevel="0" collapsed="false">
      <c r="A39" s="14"/>
      <c r="B39" s="14"/>
      <c r="C39" s="14"/>
      <c r="D39" s="14"/>
      <c r="E39" s="11" t="n">
        <f aca="false">SUM(C39-D39)</f>
        <v>0</v>
      </c>
      <c r="G39" s="14"/>
      <c r="H39" s="14"/>
      <c r="I39" s="14"/>
      <c r="J39" s="14"/>
      <c r="K39" s="11" t="n">
        <f aca="false">SUM(I39-J39)</f>
        <v>0</v>
      </c>
      <c r="M39" s="14"/>
      <c r="N39" s="14"/>
      <c r="O39" s="14"/>
      <c r="P39" s="14"/>
      <c r="Q39" s="11" t="n">
        <f aca="false">SUM(O39-P39)</f>
        <v>0</v>
      </c>
    </row>
    <row r="40" customFormat="false" ht="15.75" hidden="false" customHeight="false" outlineLevel="0" collapsed="false">
      <c r="A40" s="14"/>
      <c r="B40" s="14"/>
      <c r="C40" s="14"/>
      <c r="D40" s="14"/>
      <c r="E40" s="11" t="n">
        <f aca="false">SUM(C40-D40)</f>
        <v>0</v>
      </c>
      <c r="G40" s="14"/>
      <c r="H40" s="14"/>
      <c r="I40" s="14"/>
      <c r="J40" s="14"/>
      <c r="K40" s="11" t="n">
        <f aca="false">SUM(I40-J40)</f>
        <v>0</v>
      </c>
      <c r="M40" s="14"/>
      <c r="N40" s="14"/>
      <c r="O40" s="14"/>
      <c r="P40" s="14"/>
      <c r="Q40" s="11" t="n">
        <f aca="false">SUM(O40-P40)</f>
        <v>0</v>
      </c>
    </row>
    <row r="41" customFormat="false" ht="15.75" hidden="false" customHeight="false" outlineLevel="0" collapsed="false">
      <c r="A41" s="14"/>
      <c r="B41" s="14"/>
      <c r="C41" s="14"/>
      <c r="D41" s="14"/>
      <c r="E41" s="11" t="n">
        <f aca="false">SUM(C41-D41)</f>
        <v>0</v>
      </c>
      <c r="G41" s="14"/>
      <c r="H41" s="14"/>
      <c r="I41" s="14"/>
      <c r="J41" s="14"/>
      <c r="K41" s="11" t="n">
        <f aca="false">SUM(I41-J41)</f>
        <v>0</v>
      </c>
      <c r="M41" s="14"/>
      <c r="N41" s="14"/>
      <c r="O41" s="14"/>
      <c r="P41" s="14"/>
      <c r="Q41" s="11" t="n">
        <f aca="false">SUM(O41-P41)</f>
        <v>0</v>
      </c>
    </row>
    <row r="42" customFormat="false" ht="15.75" hidden="false" customHeight="false" outlineLevel="0" collapsed="false">
      <c r="A42" s="14"/>
      <c r="B42" s="14"/>
      <c r="C42" s="14"/>
      <c r="D42" s="14"/>
      <c r="E42" s="11" t="n">
        <f aca="false">SUM(C42-D42)</f>
        <v>0</v>
      </c>
      <c r="G42" s="14"/>
      <c r="H42" s="14"/>
      <c r="I42" s="14"/>
      <c r="J42" s="14"/>
      <c r="K42" s="11" t="n">
        <f aca="false">SUM(I42-J42)</f>
        <v>0</v>
      </c>
      <c r="M42" s="14"/>
      <c r="N42" s="14"/>
      <c r="O42" s="14"/>
      <c r="P42" s="14"/>
      <c r="Q42" s="11" t="n">
        <f aca="false">SUM(O42-P42)</f>
        <v>0</v>
      </c>
    </row>
    <row r="43" customFormat="false" ht="15.75" hidden="false" customHeight="false" outlineLevel="0" collapsed="false">
      <c r="A43" s="14"/>
      <c r="B43" s="14"/>
      <c r="C43" s="14"/>
      <c r="D43" s="14"/>
      <c r="E43" s="11" t="n">
        <f aca="false">SUM(C43-D43)</f>
        <v>0</v>
      </c>
      <c r="G43" s="14"/>
      <c r="H43" s="14"/>
      <c r="I43" s="14"/>
      <c r="J43" s="14"/>
      <c r="K43" s="11" t="n">
        <f aca="false">SUM(I43-J43)</f>
        <v>0</v>
      </c>
      <c r="M43" s="14"/>
      <c r="N43" s="14"/>
      <c r="O43" s="14"/>
      <c r="P43" s="14"/>
      <c r="Q43" s="11" t="n">
        <f aca="false">SUM(O43-P43)</f>
        <v>0</v>
      </c>
    </row>
    <row r="44" customFormat="false" ht="15.75" hidden="false" customHeight="false" outlineLevel="0" collapsed="false">
      <c r="A44" s="14"/>
      <c r="B44" s="14"/>
      <c r="C44" s="14"/>
      <c r="D44" s="14"/>
      <c r="E44" s="11" t="n">
        <f aca="false">SUM(C44-D44)</f>
        <v>0</v>
      </c>
      <c r="G44" s="14"/>
      <c r="H44" s="14"/>
      <c r="I44" s="14"/>
      <c r="J44" s="14"/>
      <c r="K44" s="11" t="n">
        <f aca="false">SUM(I44-J44)</f>
        <v>0</v>
      </c>
      <c r="M44" s="14"/>
      <c r="N44" s="14" t="s">
        <v>52</v>
      </c>
      <c r="O44" s="14"/>
      <c r="P44" s="14"/>
      <c r="Q44" s="11" t="n">
        <f aca="false">SUM(O44-P44)</f>
        <v>0</v>
      </c>
    </row>
    <row r="45" customFormat="false" ht="15.75" hidden="false" customHeight="false" outlineLevel="0" collapsed="false">
      <c r="A45" s="14"/>
      <c r="B45" s="14"/>
      <c r="C45" s="14"/>
      <c r="D45" s="14"/>
      <c r="E45" s="11" t="n">
        <f aca="false">SUM(C45-D45)</f>
        <v>0</v>
      </c>
      <c r="G45" s="14"/>
      <c r="H45" s="14"/>
      <c r="I45" s="14"/>
      <c r="J45" s="14"/>
      <c r="K45" s="11" t="n">
        <f aca="false">SUM(I45-J45)</f>
        <v>0</v>
      </c>
      <c r="M45" s="14"/>
      <c r="N45" s="14"/>
      <c r="O45" s="14"/>
      <c r="P45" s="14"/>
      <c r="Q45" s="11" t="n">
        <f aca="false">SUM(O45-P45)</f>
        <v>0</v>
      </c>
    </row>
    <row r="46" customFormat="false" ht="15.75" hidden="false" customHeight="false" outlineLevel="0" collapsed="false">
      <c r="A46" s="14"/>
      <c r="B46" s="14"/>
      <c r="C46" s="14"/>
      <c r="D46" s="14"/>
      <c r="E46" s="11" t="n">
        <f aca="false">SUM(C46-D46)</f>
        <v>0</v>
      </c>
      <c r="G46" s="14"/>
      <c r="H46" s="14"/>
      <c r="I46" s="14"/>
      <c r="J46" s="14"/>
      <c r="K46" s="11" t="n">
        <f aca="false">SUM(I46-J46)</f>
        <v>0</v>
      </c>
      <c r="M46" s="14"/>
      <c r="N46" s="14"/>
      <c r="O46" s="14"/>
      <c r="P46" s="14"/>
      <c r="Q46" s="11" t="n">
        <f aca="false">SUM(O46-P46)</f>
        <v>0</v>
      </c>
    </row>
    <row r="47" customFormat="false" ht="15.75" hidden="false" customHeight="false" outlineLevel="0" collapsed="false">
      <c r="A47" s="14"/>
      <c r="B47" s="14"/>
      <c r="C47" s="14"/>
      <c r="D47" s="14"/>
      <c r="E47" s="11" t="n">
        <f aca="false">SUM(C47-D47)</f>
        <v>0</v>
      </c>
      <c r="G47" s="14"/>
      <c r="H47" s="14"/>
      <c r="I47" s="14"/>
      <c r="J47" s="14"/>
      <c r="K47" s="11" t="n">
        <f aca="false">SUM(I47-J47)</f>
        <v>0</v>
      </c>
      <c r="M47" s="14"/>
      <c r="N47" s="14"/>
      <c r="O47" s="14"/>
      <c r="P47" s="14"/>
      <c r="Q47" s="11" t="n">
        <f aca="false">SUM(O47-P47)</f>
        <v>0</v>
      </c>
    </row>
    <row r="48" customFormat="false" ht="15.75" hidden="false" customHeight="false" outlineLevel="0" collapsed="false">
      <c r="A48" s="14"/>
      <c r="B48" s="14"/>
      <c r="C48" s="14"/>
      <c r="D48" s="14"/>
      <c r="E48" s="11" t="n">
        <f aca="false">SUM(C48-D48)</f>
        <v>0</v>
      </c>
      <c r="G48" s="14"/>
      <c r="H48" s="14"/>
      <c r="I48" s="14"/>
      <c r="J48" s="14"/>
      <c r="K48" s="11" t="n">
        <f aca="false">SUM(I48-J48)</f>
        <v>0</v>
      </c>
      <c r="M48" s="14"/>
      <c r="N48" s="14"/>
      <c r="O48" s="14"/>
      <c r="P48" s="14"/>
      <c r="Q48" s="11" t="n">
        <f aca="false">SUM(O48-P48)</f>
        <v>0</v>
      </c>
    </row>
    <row r="49" customFormat="false" ht="15.75" hidden="false" customHeight="false" outlineLevel="0" collapsed="false">
      <c r="A49" s="14"/>
      <c r="B49" s="14"/>
      <c r="C49" s="14"/>
      <c r="D49" s="14"/>
      <c r="E49" s="11" t="n">
        <f aca="false">SUM(C49-D49)</f>
        <v>0</v>
      </c>
      <c r="G49" s="14"/>
      <c r="H49" s="14"/>
      <c r="I49" s="14"/>
      <c r="J49" s="14"/>
      <c r="K49" s="11" t="n">
        <f aca="false">SUM(I49-J49)</f>
        <v>0</v>
      </c>
      <c r="M49" s="14"/>
      <c r="N49" s="14"/>
      <c r="O49" s="14"/>
      <c r="P49" s="14"/>
      <c r="Q49" s="11" t="n">
        <f aca="false">SUM(O49-P49)</f>
        <v>0</v>
      </c>
    </row>
    <row r="50" customFormat="false" ht="15.75" hidden="false" customHeight="false" outlineLevel="0" collapsed="false">
      <c r="A50" s="14"/>
      <c r="B50" s="14"/>
      <c r="C50" s="14"/>
      <c r="D50" s="14"/>
      <c r="E50" s="11" t="n">
        <f aca="false">SUM(C50-D50)</f>
        <v>0</v>
      </c>
      <c r="G50" s="14"/>
      <c r="H50" s="14"/>
      <c r="I50" s="14"/>
      <c r="J50" s="14"/>
      <c r="K50" s="11" t="n">
        <f aca="false">SUM(I50-J50)</f>
        <v>0</v>
      </c>
      <c r="M50" s="14"/>
      <c r="N50" s="14"/>
      <c r="O50" s="14"/>
      <c r="P50" s="14"/>
      <c r="Q50" s="11" t="n">
        <f aca="false">SUM(O50-P50)</f>
        <v>0</v>
      </c>
    </row>
    <row r="51" customFormat="false" ht="15.75" hidden="false" customHeight="false" outlineLevel="0" collapsed="false">
      <c r="A51" s="14"/>
      <c r="B51" s="14"/>
      <c r="C51" s="14"/>
      <c r="D51" s="14"/>
      <c r="E51" s="11" t="n">
        <f aca="false">SUM(C51-D51)</f>
        <v>0</v>
      </c>
      <c r="G51" s="14"/>
      <c r="H51" s="14"/>
      <c r="I51" s="14"/>
      <c r="J51" s="14"/>
      <c r="K51" s="11" t="n">
        <f aca="false">SUM(I51-J51)</f>
        <v>0</v>
      </c>
      <c r="M51" s="14"/>
      <c r="N51" s="14"/>
      <c r="O51" s="14"/>
      <c r="P51" s="14"/>
      <c r="Q51" s="11" t="n">
        <f aca="false">SUM(O51-P51)</f>
        <v>0</v>
      </c>
    </row>
    <row r="52" customFormat="false" ht="15.75" hidden="false" customHeight="false" outlineLevel="0" collapsed="false">
      <c r="A52" s="14"/>
      <c r="B52" s="14"/>
      <c r="C52" s="14"/>
      <c r="D52" s="14"/>
      <c r="E52" s="11" t="n">
        <f aca="false">SUM(C52-D52)</f>
        <v>0</v>
      </c>
      <c r="G52" s="14"/>
      <c r="H52" s="14"/>
      <c r="I52" s="14"/>
      <c r="J52" s="14"/>
      <c r="K52" s="11" t="n">
        <f aca="false">SUM(I52-J52)</f>
        <v>0</v>
      </c>
      <c r="M52" s="14"/>
      <c r="N52" s="14"/>
      <c r="O52" s="14"/>
      <c r="P52" s="14"/>
      <c r="Q52" s="11" t="n">
        <f aca="false">SUM(O52-P52)</f>
        <v>0</v>
      </c>
    </row>
    <row r="53" customFormat="false" ht="15.75" hidden="false" customHeight="false" outlineLevel="0" collapsed="false"/>
    <row r="54" customFormat="false" ht="15.75" hidden="false" customHeight="false" outlineLevel="0" collapsed="false">
      <c r="C54" s="18" t="s">
        <v>24</v>
      </c>
      <c r="D54" s="18" t="s">
        <v>24</v>
      </c>
      <c r="E54" s="19" t="s">
        <v>24</v>
      </c>
      <c r="I54" s="18" t="s">
        <v>24</v>
      </c>
      <c r="J54" s="18" t="s">
        <v>24</v>
      </c>
      <c r="K54" s="19" t="s">
        <v>24</v>
      </c>
      <c r="O54" s="18" t="s">
        <v>24</v>
      </c>
      <c r="P54" s="18" t="s">
        <v>24</v>
      </c>
      <c r="Q54" s="19" t="s">
        <v>24</v>
      </c>
    </row>
    <row r="55" customFormat="false" ht="15.75" hidden="false" customHeight="false" outlineLevel="0" collapsed="false">
      <c r="C55" s="11" t="n">
        <f aca="false">SUM(C4:C52)</f>
        <v>0</v>
      </c>
      <c r="D55" s="11" t="n">
        <f aca="false">SUM(D4:D52)</f>
        <v>20.1</v>
      </c>
      <c r="E55" s="11" t="n">
        <f aca="false">SUM(E4:E52)</f>
        <v>-20.1</v>
      </c>
      <c r="I55" s="11" t="n">
        <f aca="false">SUM(I4:I52)</f>
        <v>250</v>
      </c>
      <c r="J55" s="11" t="n">
        <f aca="false">SUM(J4:J52)</f>
        <v>2041.1</v>
      </c>
      <c r="K55" s="11" t="n">
        <f aca="false">SUM(K4:K52)</f>
        <v>-1791.1</v>
      </c>
      <c r="O55" s="11" t="n">
        <f aca="false">SUM(O4:O52)</f>
        <v>320</v>
      </c>
      <c r="P55" s="11" t="n">
        <f aca="false">SUM(P4:P52)</f>
        <v>10</v>
      </c>
      <c r="Q55" s="11" t="n">
        <f aca="false">SUM(Q4:Q52)</f>
        <v>310</v>
      </c>
    </row>
    <row r="61" customFormat="false" ht="15" hidden="false" customHeight="false" outlineLevel="0" collapsed="false">
      <c r="A61" s="20"/>
      <c r="C61" s="21"/>
      <c r="D61" s="21"/>
      <c r="G61" s="20"/>
      <c r="I61" s="21"/>
      <c r="J61" s="21"/>
      <c r="M61" s="20"/>
      <c r="O61" s="21"/>
      <c r="P61" s="21"/>
    </row>
    <row r="62" customFormat="false" ht="15" hidden="false" customHeight="false" outlineLevel="0" collapsed="false">
      <c r="A62" s="20"/>
      <c r="C62" s="22"/>
      <c r="G62" s="20"/>
      <c r="I62" s="22"/>
      <c r="M62" s="20"/>
      <c r="O62" s="22"/>
    </row>
  </sheetData>
  <autoFilter ref="H1:H62"/>
  <mergeCells count="3">
    <mergeCell ref="A1:E2"/>
    <mergeCell ref="G1:K2"/>
    <mergeCell ref="M1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31" activeCellId="0" sqref="G3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13.57"/>
    <col collapsed="false" customWidth="true" hidden="false" outlineLevel="0" max="10" min="10" style="0" width="13.71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0" width="13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25</v>
      </c>
      <c r="N1" s="1"/>
      <c r="O1" s="1"/>
      <c r="P1" s="1"/>
      <c r="Q1" s="1"/>
    </row>
    <row r="2" customFormat="false" ht="15.75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  <c r="K2" s="1"/>
      <c r="M2" s="1"/>
      <c r="N2" s="1"/>
      <c r="O2" s="1"/>
      <c r="P2" s="1"/>
      <c r="Q2" s="1"/>
    </row>
    <row r="3" customFormat="false" ht="15.75" hidden="false" customHeight="false" outlineLevel="0" collapsed="false">
      <c r="A3" s="2" t="s">
        <v>3</v>
      </c>
      <c r="B3" s="3" t="s">
        <v>4</v>
      </c>
      <c r="C3" s="4" t="s">
        <v>5</v>
      </c>
      <c r="D3" s="4" t="s">
        <v>6</v>
      </c>
      <c r="E3" s="5" t="s">
        <v>7</v>
      </c>
      <c r="G3" s="6" t="s">
        <v>3</v>
      </c>
      <c r="H3" s="7" t="s">
        <v>4</v>
      </c>
      <c r="I3" s="8" t="s">
        <v>5</v>
      </c>
      <c r="J3" s="8" t="s">
        <v>6</v>
      </c>
      <c r="K3" s="9" t="s">
        <v>7</v>
      </c>
      <c r="M3" s="2" t="s">
        <v>3</v>
      </c>
      <c r="N3" s="3" t="s">
        <v>4</v>
      </c>
      <c r="O3" s="4" t="s">
        <v>5</v>
      </c>
      <c r="P3" s="4" t="s">
        <v>6</v>
      </c>
      <c r="Q3" s="5" t="s">
        <v>7</v>
      </c>
    </row>
    <row r="4" customFormat="false" ht="15.75" hidden="false" customHeight="false" outlineLevel="0" collapsed="false">
      <c r="A4" s="10" t="n">
        <v>45697</v>
      </c>
      <c r="B4" s="11" t="s">
        <v>53</v>
      </c>
      <c r="C4" s="11" t="n">
        <v>20</v>
      </c>
      <c r="D4" s="11"/>
      <c r="E4" s="11" t="n">
        <f aca="false">SUM(C4-D4)</f>
        <v>20</v>
      </c>
      <c r="G4" s="12" t="n">
        <v>45693</v>
      </c>
      <c r="H4" s="13" t="s">
        <v>54</v>
      </c>
      <c r="I4" s="13"/>
      <c r="J4" s="13" t="n">
        <v>20</v>
      </c>
      <c r="K4" s="13" t="n">
        <f aca="false">SUM(I4-J4)</f>
        <v>-20</v>
      </c>
      <c r="M4" s="10" t="n">
        <v>45691</v>
      </c>
      <c r="N4" s="11" t="s">
        <v>55</v>
      </c>
      <c r="O4" s="11"/>
      <c r="P4" s="11" t="n">
        <v>10</v>
      </c>
      <c r="Q4" s="11" t="n">
        <f aca="false">SUM(O4-P4)</f>
        <v>-10</v>
      </c>
    </row>
    <row r="5" customFormat="false" ht="15.75" hidden="false" customHeight="false" outlineLevel="0" collapsed="false">
      <c r="A5" s="10" t="n">
        <v>45702</v>
      </c>
      <c r="B5" s="14" t="s">
        <v>56</v>
      </c>
      <c r="C5" s="14"/>
      <c r="D5" s="14" t="n">
        <v>11</v>
      </c>
      <c r="E5" s="11" t="n">
        <f aca="false">SUM(C5-D5)</f>
        <v>-11</v>
      </c>
      <c r="G5" s="12" t="n">
        <v>45693</v>
      </c>
      <c r="H5" s="15" t="s">
        <v>57</v>
      </c>
      <c r="I5" s="15"/>
      <c r="J5" s="15" t="n">
        <v>5</v>
      </c>
      <c r="K5" s="13" t="n">
        <f aca="false">SUM(I5-J5)</f>
        <v>-5</v>
      </c>
      <c r="M5" s="10" t="n">
        <v>45693</v>
      </c>
      <c r="N5" s="14" t="s">
        <v>58</v>
      </c>
      <c r="O5" s="14" t="n">
        <v>10</v>
      </c>
      <c r="P5" s="14"/>
      <c r="Q5" s="11" t="n">
        <f aca="false">SUM(O5-P5)</f>
        <v>10</v>
      </c>
    </row>
    <row r="6" customFormat="false" ht="15.75" hidden="false" customHeight="false" outlineLevel="0" collapsed="false">
      <c r="A6" s="10" t="n">
        <v>45703</v>
      </c>
      <c r="B6" s="14" t="s">
        <v>59</v>
      </c>
      <c r="C6" s="14"/>
      <c r="D6" s="14" t="n">
        <v>3</v>
      </c>
      <c r="E6" s="11" t="n">
        <f aca="false">SUM(C6-D6)</f>
        <v>-3</v>
      </c>
      <c r="G6" s="12" t="n">
        <v>45696</v>
      </c>
      <c r="H6" s="15" t="s">
        <v>60</v>
      </c>
      <c r="I6" s="15" t="n">
        <v>70</v>
      </c>
      <c r="J6" s="15"/>
      <c r="K6" s="13" t="n">
        <f aca="false">SUM(I6-J6)</f>
        <v>70</v>
      </c>
      <c r="M6" s="10" t="n">
        <v>45693</v>
      </c>
      <c r="N6" s="14" t="s">
        <v>54</v>
      </c>
      <c r="O6" s="14" t="n">
        <v>20</v>
      </c>
      <c r="P6" s="14"/>
      <c r="Q6" s="11" t="n">
        <f aca="false">SUM(O6-P6)</f>
        <v>20</v>
      </c>
    </row>
    <row r="7" customFormat="false" ht="15.75" hidden="false" customHeight="false" outlineLevel="0" collapsed="false">
      <c r="A7" s="16" t="n">
        <v>45703</v>
      </c>
      <c r="B7" s="14" t="s">
        <v>61</v>
      </c>
      <c r="C7" s="14"/>
      <c r="D7" s="14" t="n">
        <v>6</v>
      </c>
      <c r="E7" s="11" t="n">
        <f aca="false">SUM(C7-D7)</f>
        <v>-6</v>
      </c>
      <c r="G7" s="17" t="n">
        <v>45704</v>
      </c>
      <c r="H7" s="15" t="s">
        <v>11</v>
      </c>
      <c r="I7" s="15"/>
      <c r="J7" s="15" t="n">
        <v>10</v>
      </c>
      <c r="K7" s="13" t="n">
        <f aca="false">SUM(I7-J7)</f>
        <v>-10</v>
      </c>
      <c r="M7" s="16" t="n">
        <v>45694</v>
      </c>
      <c r="N7" s="14" t="s">
        <v>62</v>
      </c>
      <c r="O7" s="14" t="n">
        <v>370</v>
      </c>
      <c r="P7" s="14"/>
      <c r="Q7" s="11" t="n">
        <f aca="false">SUM(O7-P7)</f>
        <v>370</v>
      </c>
    </row>
    <row r="8" customFormat="false" ht="15.75" hidden="false" customHeight="false" outlineLevel="0" collapsed="false">
      <c r="A8" s="16"/>
      <c r="B8" s="14"/>
      <c r="C8" s="14"/>
      <c r="D8" s="14"/>
      <c r="E8" s="11" t="n">
        <f aca="false">SUM(C8-D8)</f>
        <v>0</v>
      </c>
      <c r="G8" s="17" t="n">
        <v>45705</v>
      </c>
      <c r="H8" s="15" t="s">
        <v>63</v>
      </c>
      <c r="I8" s="15"/>
      <c r="J8" s="15" t="n">
        <v>73</v>
      </c>
      <c r="K8" s="13" t="n">
        <f aca="false">SUM(I8-J8)</f>
        <v>-73</v>
      </c>
      <c r="M8" s="16" t="n">
        <v>45694</v>
      </c>
      <c r="N8" s="14" t="s">
        <v>64</v>
      </c>
      <c r="O8" s="14" t="n">
        <v>20</v>
      </c>
      <c r="P8" s="14"/>
      <c r="Q8" s="11" t="n">
        <f aca="false">SUM(O8-P8)</f>
        <v>20</v>
      </c>
    </row>
    <row r="9" customFormat="false" ht="15.75" hidden="false" customHeight="false" outlineLevel="0" collapsed="false">
      <c r="A9" s="14"/>
      <c r="B9" s="14"/>
      <c r="C9" s="14"/>
      <c r="D9" s="14"/>
      <c r="E9" s="11" t="n">
        <f aca="false">SUM(C9-D9)</f>
        <v>0</v>
      </c>
      <c r="G9" s="17" t="n">
        <v>45702</v>
      </c>
      <c r="H9" s="15" t="s">
        <v>44</v>
      </c>
      <c r="I9" s="15"/>
      <c r="J9" s="15" t="n">
        <v>510</v>
      </c>
      <c r="K9" s="13" t="n">
        <f aca="false">SUM(I9-J9)</f>
        <v>-510</v>
      </c>
      <c r="M9" s="16" t="n">
        <v>45697</v>
      </c>
      <c r="N9" s="14" t="s">
        <v>65</v>
      </c>
      <c r="O9" s="14" t="n">
        <v>10</v>
      </c>
      <c r="P9" s="14"/>
      <c r="Q9" s="11" t="n">
        <f aca="false">SUM(O9-P9)</f>
        <v>10</v>
      </c>
    </row>
    <row r="10" customFormat="false" ht="15.75" hidden="false" customHeight="false" outlineLevel="0" collapsed="false">
      <c r="A10" s="14"/>
      <c r="B10" s="14"/>
      <c r="C10" s="14"/>
      <c r="D10" s="14"/>
      <c r="E10" s="11" t="n">
        <f aca="false">SUM(C10-D10)</f>
        <v>0</v>
      </c>
      <c r="G10" s="17" t="n">
        <v>45703</v>
      </c>
      <c r="H10" s="15" t="s">
        <v>11</v>
      </c>
      <c r="I10" s="15"/>
      <c r="J10" s="15" t="n">
        <v>16</v>
      </c>
      <c r="K10" s="13" t="n">
        <f aca="false">SUM(I10-J10)</f>
        <v>-16</v>
      </c>
      <c r="M10" s="16" t="n">
        <v>45699</v>
      </c>
      <c r="N10" s="14" t="s">
        <v>38</v>
      </c>
      <c r="O10" s="14" t="n">
        <v>30</v>
      </c>
      <c r="P10" s="14"/>
      <c r="Q10" s="11" t="n">
        <f aca="false">SUM(O10-P10)</f>
        <v>30</v>
      </c>
    </row>
    <row r="11" customFormat="false" ht="15.75" hidden="false" customHeight="false" outlineLevel="0" collapsed="false">
      <c r="A11" s="14"/>
      <c r="B11" s="14"/>
      <c r="C11" s="14"/>
      <c r="D11" s="14"/>
      <c r="E11" s="11" t="n">
        <f aca="false">SUM(C11-D11)</f>
        <v>0</v>
      </c>
      <c r="G11" s="17" t="n">
        <v>45705</v>
      </c>
      <c r="H11" s="15" t="s">
        <v>66</v>
      </c>
      <c r="I11" s="15"/>
      <c r="J11" s="15" t="n">
        <v>40</v>
      </c>
      <c r="K11" s="13" t="n">
        <f aca="false">SUM(I11-J11)</f>
        <v>-40</v>
      </c>
      <c r="M11" s="16" t="n">
        <v>45699</v>
      </c>
      <c r="N11" s="14" t="s">
        <v>25</v>
      </c>
      <c r="O11" s="14"/>
      <c r="P11" s="14" t="n">
        <v>295</v>
      </c>
      <c r="Q11" s="11" t="n">
        <f aca="false">SUM(O11-P11)</f>
        <v>-295</v>
      </c>
    </row>
    <row r="12" customFormat="false" ht="15.75" hidden="false" customHeight="false" outlineLevel="0" collapsed="false">
      <c r="A12" s="14"/>
      <c r="B12" s="14"/>
      <c r="C12" s="14"/>
      <c r="D12" s="14"/>
      <c r="E12" s="11" t="n">
        <f aca="false">SUM(C12-D12)</f>
        <v>0</v>
      </c>
      <c r="G12" s="17" t="n">
        <v>45708</v>
      </c>
      <c r="H12" s="15" t="s">
        <v>67</v>
      </c>
      <c r="I12" s="15"/>
      <c r="J12" s="15" t="n">
        <v>40</v>
      </c>
      <c r="K12" s="13" t="n">
        <f aca="false">SUM(I12-J12)</f>
        <v>-40</v>
      </c>
      <c r="M12" s="16" t="n">
        <v>45700</v>
      </c>
      <c r="N12" s="14" t="s">
        <v>38</v>
      </c>
      <c r="O12" s="14" t="n">
        <v>10</v>
      </c>
      <c r="P12" s="14"/>
      <c r="Q12" s="11" t="n">
        <f aca="false">SUM(O12-P12)</f>
        <v>10</v>
      </c>
    </row>
    <row r="13" customFormat="false" ht="15.75" hidden="false" customHeight="false" outlineLevel="0" collapsed="false">
      <c r="A13" s="14"/>
      <c r="B13" s="14"/>
      <c r="C13" s="14"/>
      <c r="D13" s="14"/>
      <c r="E13" s="11" t="n">
        <f aca="false">SUM(C13-D13)</f>
        <v>0</v>
      </c>
      <c r="G13" s="17" t="n">
        <v>45716</v>
      </c>
      <c r="H13" s="15" t="s">
        <v>68</v>
      </c>
      <c r="I13" s="15" t="n">
        <v>200</v>
      </c>
      <c r="J13" s="15"/>
      <c r="K13" s="13" t="n">
        <f aca="false">SUM(I13-J13)</f>
        <v>200</v>
      </c>
      <c r="M13" s="16" t="n">
        <v>45702</v>
      </c>
      <c r="N13" s="14" t="s">
        <v>69</v>
      </c>
      <c r="O13" s="14"/>
      <c r="P13" s="14" t="n">
        <v>800</v>
      </c>
      <c r="Q13" s="11" t="n">
        <f aca="false">SUM(O13-P13)</f>
        <v>-800</v>
      </c>
    </row>
    <row r="14" customFormat="false" ht="15.75" hidden="false" customHeight="false" outlineLevel="0" collapsed="false">
      <c r="A14" s="14"/>
      <c r="B14" s="14"/>
      <c r="C14" s="14"/>
      <c r="D14" s="14"/>
      <c r="E14" s="11" t="n">
        <f aca="false">SUM(C14-D14)</f>
        <v>0</v>
      </c>
      <c r="G14" s="17"/>
      <c r="H14" s="15"/>
      <c r="I14" s="15"/>
      <c r="J14" s="15"/>
      <c r="K14" s="13" t="n">
        <f aca="false">SUM(I14-J14)</f>
        <v>0</v>
      </c>
      <c r="M14" s="16" t="n">
        <v>45702</v>
      </c>
      <c r="N14" s="14" t="s">
        <v>70</v>
      </c>
      <c r="O14" s="14" t="n">
        <v>20</v>
      </c>
      <c r="P14" s="14"/>
      <c r="Q14" s="11" t="n">
        <f aca="false">SUM(O14-P14)</f>
        <v>20</v>
      </c>
    </row>
    <row r="15" customFormat="false" ht="15.75" hidden="false" customHeight="false" outlineLevel="0" collapsed="false">
      <c r="A15" s="14"/>
      <c r="B15" s="14"/>
      <c r="C15" s="14"/>
      <c r="D15" s="14"/>
      <c r="E15" s="11" t="n">
        <f aca="false">SUM(C15-D15)</f>
        <v>0</v>
      </c>
      <c r="G15" s="17"/>
      <c r="H15" s="15"/>
      <c r="I15" s="15"/>
      <c r="J15" s="15"/>
      <c r="K15" s="13" t="n">
        <f aca="false">SUM(I15-J15)</f>
        <v>0</v>
      </c>
      <c r="M15" s="16" t="n">
        <v>45702</v>
      </c>
      <c r="N15" s="14" t="s">
        <v>64</v>
      </c>
      <c r="O15" s="14" t="n">
        <v>92</v>
      </c>
      <c r="P15" s="14"/>
      <c r="Q15" s="11" t="n">
        <f aca="false">SUM(O15-P15)</f>
        <v>92</v>
      </c>
    </row>
    <row r="16" customFormat="false" ht="15.75" hidden="false" customHeight="false" outlineLevel="0" collapsed="false">
      <c r="A16" s="14"/>
      <c r="B16" s="14"/>
      <c r="C16" s="14"/>
      <c r="D16" s="14"/>
      <c r="E16" s="11" t="n">
        <f aca="false">SUM(C16-D16)</f>
        <v>0</v>
      </c>
      <c r="G16" s="17"/>
      <c r="H16" s="15"/>
      <c r="I16" s="15"/>
      <c r="J16" s="15"/>
      <c r="K16" s="13" t="n">
        <f aca="false">SUM(I16-J16)</f>
        <v>0</v>
      </c>
      <c r="M16" s="16" t="n">
        <v>45702</v>
      </c>
      <c r="N16" s="14" t="s">
        <v>64</v>
      </c>
      <c r="O16" s="14" t="n">
        <v>82</v>
      </c>
      <c r="P16" s="14"/>
      <c r="Q16" s="11" t="n">
        <f aca="false">SUM(O16-P16)</f>
        <v>82</v>
      </c>
    </row>
    <row r="17" customFormat="false" ht="15.75" hidden="false" customHeight="false" outlineLevel="0" collapsed="false">
      <c r="A17" s="14"/>
      <c r="B17" s="14"/>
      <c r="C17" s="14"/>
      <c r="D17" s="14"/>
      <c r="E17" s="11" t="n">
        <f aca="false">SUM(C17-D17)</f>
        <v>0</v>
      </c>
      <c r="G17" s="17"/>
      <c r="H17" s="15"/>
      <c r="I17" s="15"/>
      <c r="J17" s="15"/>
      <c r="K17" s="13" t="n">
        <f aca="false">SUM(I17-J17)</f>
        <v>0</v>
      </c>
      <c r="M17" s="16" t="n">
        <v>45703</v>
      </c>
      <c r="N17" s="14" t="s">
        <v>35</v>
      </c>
      <c r="O17" s="14" t="n">
        <v>20</v>
      </c>
      <c r="P17" s="14"/>
      <c r="Q17" s="11" t="n">
        <f aca="false">SUM(O17-P17)</f>
        <v>20</v>
      </c>
    </row>
    <row r="18" customFormat="false" ht="15.75" hidden="false" customHeight="false" outlineLevel="0" collapsed="false">
      <c r="A18" s="14"/>
      <c r="B18" s="14"/>
      <c r="C18" s="14"/>
      <c r="D18" s="14"/>
      <c r="E18" s="11" t="n">
        <f aca="false">SUM(C18-D18)</f>
        <v>0</v>
      </c>
      <c r="G18" s="17"/>
      <c r="H18" s="15"/>
      <c r="I18" s="15"/>
      <c r="J18" s="15"/>
      <c r="K18" s="13" t="n">
        <f aca="false">SUM(I18-J18)</f>
        <v>0</v>
      </c>
      <c r="M18" s="16" t="n">
        <v>45707</v>
      </c>
      <c r="N18" s="14" t="s">
        <v>40</v>
      </c>
      <c r="O18" s="14"/>
      <c r="P18" s="14" t="n">
        <v>10</v>
      </c>
      <c r="Q18" s="11" t="n">
        <f aca="false">SUM(O18-P18)</f>
        <v>-10</v>
      </c>
    </row>
    <row r="19" customFormat="false" ht="15.75" hidden="false" customHeight="false" outlineLevel="0" collapsed="false">
      <c r="A19" s="14"/>
      <c r="B19" s="14"/>
      <c r="C19" s="14"/>
      <c r="D19" s="14"/>
      <c r="E19" s="11" t="n">
        <f aca="false">SUM(C19-D19)</f>
        <v>0</v>
      </c>
      <c r="G19" s="17"/>
      <c r="H19" s="15"/>
      <c r="I19" s="15"/>
      <c r="J19" s="15"/>
      <c r="K19" s="13" t="n">
        <f aca="false">SUM(I19-J19)</f>
        <v>0</v>
      </c>
      <c r="M19" s="14"/>
      <c r="N19" s="14"/>
      <c r="O19" s="14"/>
      <c r="P19" s="14"/>
      <c r="Q19" s="11" t="n">
        <f aca="false">SUM(O19-P19)</f>
        <v>0</v>
      </c>
    </row>
    <row r="20" customFormat="false" ht="15.75" hidden="false" customHeight="false" outlineLevel="0" collapsed="false">
      <c r="A20" s="14"/>
      <c r="B20" s="14"/>
      <c r="C20" s="14"/>
      <c r="D20" s="14"/>
      <c r="E20" s="11" t="n">
        <f aca="false">SUM(C20-D20)</f>
        <v>0</v>
      </c>
      <c r="G20" s="17"/>
      <c r="H20" s="15"/>
      <c r="I20" s="15"/>
      <c r="J20" s="15"/>
      <c r="K20" s="13" t="n">
        <f aca="false">SUM(I20-J20)</f>
        <v>0</v>
      </c>
      <c r="M20" s="14"/>
      <c r="N20" s="14"/>
      <c r="O20" s="14"/>
      <c r="P20" s="14"/>
      <c r="Q20" s="11" t="n">
        <f aca="false">SUM(O20-P20)</f>
        <v>0</v>
      </c>
    </row>
    <row r="21" customFormat="false" ht="15.75" hidden="false" customHeight="false" outlineLevel="0" collapsed="false">
      <c r="A21" s="14"/>
      <c r="B21" s="14"/>
      <c r="C21" s="14"/>
      <c r="D21" s="14"/>
      <c r="E21" s="11" t="n">
        <f aca="false">SUM(C21-D21)</f>
        <v>0</v>
      </c>
      <c r="G21" s="17"/>
      <c r="H21" s="15"/>
      <c r="I21" s="15"/>
      <c r="J21" s="15"/>
      <c r="K21" s="13" t="n">
        <f aca="false">SUM(I21-J21)</f>
        <v>0</v>
      </c>
      <c r="M21" s="14"/>
      <c r="N21" s="14"/>
      <c r="O21" s="14"/>
      <c r="P21" s="14"/>
      <c r="Q21" s="11" t="n">
        <f aca="false">SUM(O21-P21)</f>
        <v>0</v>
      </c>
    </row>
    <row r="22" customFormat="false" ht="15.75" hidden="false" customHeight="false" outlineLevel="0" collapsed="false">
      <c r="A22" s="14"/>
      <c r="B22" s="14"/>
      <c r="C22" s="14"/>
      <c r="D22" s="14"/>
      <c r="E22" s="11" t="n">
        <f aca="false">SUM(C22-D22)</f>
        <v>0</v>
      </c>
      <c r="G22" s="14"/>
      <c r="H22" s="14"/>
      <c r="I22" s="14"/>
      <c r="J22" s="14"/>
      <c r="K22" s="11" t="n">
        <f aca="false">SUM(I22-J22)</f>
        <v>0</v>
      </c>
      <c r="M22" s="14"/>
      <c r="N22" s="14"/>
      <c r="O22" s="14"/>
      <c r="P22" s="14"/>
      <c r="Q22" s="11" t="n">
        <f aca="false">SUM(O22-P22)</f>
        <v>0</v>
      </c>
    </row>
    <row r="23" customFormat="false" ht="15.75" hidden="false" customHeight="false" outlineLevel="0" collapsed="false">
      <c r="A23" s="14"/>
      <c r="B23" s="14"/>
      <c r="C23" s="14"/>
      <c r="D23" s="14"/>
      <c r="E23" s="11" t="n">
        <f aca="false">SUM(C23-D23)</f>
        <v>0</v>
      </c>
      <c r="G23" s="14"/>
      <c r="H23" s="14"/>
      <c r="I23" s="14"/>
      <c r="J23" s="14"/>
      <c r="K23" s="11" t="n">
        <f aca="false">SUM(I23-J23)</f>
        <v>0</v>
      </c>
      <c r="M23" s="14"/>
      <c r="N23" s="14"/>
      <c r="O23" s="14"/>
      <c r="P23" s="14"/>
      <c r="Q23" s="11" t="n">
        <f aca="false">SUM(O23-P23)</f>
        <v>0</v>
      </c>
    </row>
    <row r="24" customFormat="false" ht="15.75" hidden="false" customHeight="false" outlineLevel="0" collapsed="false">
      <c r="A24" s="14"/>
      <c r="B24" s="14"/>
      <c r="C24" s="14"/>
      <c r="D24" s="14"/>
      <c r="E24" s="11" t="n">
        <f aca="false">SUM(C24-D24)</f>
        <v>0</v>
      </c>
      <c r="G24" s="14"/>
      <c r="H24" s="14"/>
      <c r="I24" s="14"/>
      <c r="J24" s="14"/>
      <c r="K24" s="11" t="n">
        <f aca="false">SUM(I24-J24)</f>
        <v>0</v>
      </c>
      <c r="M24" s="14"/>
      <c r="N24" s="14"/>
      <c r="O24" s="14"/>
      <c r="P24" s="14"/>
      <c r="Q24" s="11" t="n">
        <f aca="false">SUM(O24-P24)</f>
        <v>0</v>
      </c>
    </row>
    <row r="25" customFormat="false" ht="15.75" hidden="false" customHeight="false" outlineLevel="0" collapsed="false">
      <c r="A25" s="14"/>
      <c r="B25" s="14"/>
      <c r="C25" s="14"/>
      <c r="D25" s="14"/>
      <c r="E25" s="11" t="n">
        <f aca="false">SUM(C25-D25)</f>
        <v>0</v>
      </c>
      <c r="G25" s="14"/>
      <c r="H25" s="14"/>
      <c r="I25" s="14"/>
      <c r="J25" s="14"/>
      <c r="K25" s="11" t="n">
        <f aca="false">SUM(I25-J25)</f>
        <v>0</v>
      </c>
      <c r="M25" s="14"/>
      <c r="N25" s="14"/>
      <c r="O25" s="14"/>
      <c r="P25" s="14"/>
      <c r="Q25" s="11" t="n">
        <f aca="false">SUM(O25-P25)</f>
        <v>0</v>
      </c>
    </row>
    <row r="26" customFormat="false" ht="15.75" hidden="false" customHeight="false" outlineLevel="0" collapsed="false">
      <c r="A26" s="14"/>
      <c r="B26" s="14"/>
      <c r="C26" s="14"/>
      <c r="D26" s="14"/>
      <c r="E26" s="11" t="n">
        <f aca="false">SUM(C26-D26)</f>
        <v>0</v>
      </c>
      <c r="G26" s="14"/>
      <c r="H26" s="14"/>
      <c r="I26" s="14"/>
      <c r="J26" s="14"/>
      <c r="K26" s="11" t="n">
        <f aca="false">SUM(I26-J26)</f>
        <v>0</v>
      </c>
      <c r="M26" s="14"/>
      <c r="N26" s="14"/>
      <c r="O26" s="14"/>
      <c r="P26" s="14"/>
      <c r="Q26" s="11" t="n">
        <f aca="false">SUM(O26-P26)</f>
        <v>0</v>
      </c>
    </row>
    <row r="27" customFormat="false" ht="15.75" hidden="false" customHeight="false" outlineLevel="0" collapsed="false">
      <c r="A27" s="14"/>
      <c r="B27" s="14"/>
      <c r="C27" s="14"/>
      <c r="D27" s="14"/>
      <c r="E27" s="11" t="n">
        <f aca="false">SUM(C27-D27)</f>
        <v>0</v>
      </c>
      <c r="G27" s="14"/>
      <c r="H27" s="14"/>
      <c r="I27" s="14"/>
      <c r="J27" s="14"/>
      <c r="K27" s="11" t="n">
        <f aca="false">SUM(I27-J27)</f>
        <v>0</v>
      </c>
      <c r="M27" s="14"/>
      <c r="N27" s="14"/>
      <c r="O27" s="14"/>
      <c r="P27" s="14"/>
      <c r="Q27" s="11" t="n">
        <f aca="false">SUM(O27-P27)</f>
        <v>0</v>
      </c>
    </row>
    <row r="28" customFormat="false" ht="15.75" hidden="false" customHeight="false" outlineLevel="0" collapsed="false">
      <c r="A28" s="14"/>
      <c r="B28" s="14"/>
      <c r="C28" s="14"/>
      <c r="D28" s="14"/>
      <c r="E28" s="11" t="n">
        <f aca="false">SUM(C28-D28)</f>
        <v>0</v>
      </c>
      <c r="G28" s="14"/>
      <c r="H28" s="14"/>
      <c r="I28" s="14"/>
      <c r="J28" s="14"/>
      <c r="K28" s="11" t="n">
        <f aca="false">SUM(I28-J28)</f>
        <v>0</v>
      </c>
      <c r="M28" s="14"/>
      <c r="N28" s="14"/>
      <c r="O28" s="14"/>
      <c r="P28" s="14"/>
      <c r="Q28" s="11" t="n">
        <f aca="false">SUM(O28-P28)</f>
        <v>0</v>
      </c>
    </row>
    <row r="29" customFormat="false" ht="15.75" hidden="false" customHeight="false" outlineLevel="0" collapsed="false">
      <c r="A29" s="14"/>
      <c r="B29" s="14"/>
      <c r="C29" s="14"/>
      <c r="D29" s="14"/>
      <c r="E29" s="11" t="n">
        <f aca="false">SUM(C29-D29)</f>
        <v>0</v>
      </c>
      <c r="G29" s="14"/>
      <c r="H29" s="14"/>
      <c r="I29" s="14"/>
      <c r="J29" s="14"/>
      <c r="K29" s="11" t="n">
        <f aca="false">SUM(I29-J29)</f>
        <v>0</v>
      </c>
      <c r="M29" s="14"/>
      <c r="N29" s="14"/>
      <c r="O29" s="14"/>
      <c r="P29" s="14"/>
      <c r="Q29" s="11" t="n">
        <f aca="false">SUM(O29-P29)</f>
        <v>0</v>
      </c>
    </row>
    <row r="30" customFormat="false" ht="15.75" hidden="false" customHeight="false" outlineLevel="0" collapsed="false">
      <c r="A30" s="14"/>
      <c r="B30" s="14"/>
      <c r="C30" s="14"/>
      <c r="D30" s="14"/>
      <c r="E30" s="11" t="n">
        <f aca="false">SUM(C30-D30)</f>
        <v>0</v>
      </c>
      <c r="G30" s="14"/>
      <c r="H30" s="14"/>
      <c r="I30" s="14"/>
      <c r="J30" s="14"/>
      <c r="K30" s="11" t="n">
        <f aca="false">SUM(I30-J30)</f>
        <v>0</v>
      </c>
      <c r="M30" s="14"/>
      <c r="N30" s="14"/>
      <c r="O30" s="14"/>
      <c r="P30" s="14"/>
      <c r="Q30" s="11" t="n">
        <f aca="false">SUM(O30-P30)</f>
        <v>0</v>
      </c>
    </row>
    <row r="31" customFormat="false" ht="15.75" hidden="false" customHeight="false" outlineLevel="0" collapsed="false">
      <c r="A31" s="14"/>
      <c r="B31" s="14"/>
      <c r="C31" s="14"/>
      <c r="D31" s="14"/>
      <c r="E31" s="11" t="n">
        <f aca="false">SUM(C31-D31)</f>
        <v>0</v>
      </c>
      <c r="G31" s="14"/>
      <c r="H31" s="14"/>
      <c r="I31" s="14"/>
      <c r="J31" s="14"/>
      <c r="K31" s="11" t="n">
        <f aca="false">SUM(I31-J31)</f>
        <v>0</v>
      </c>
      <c r="M31" s="14"/>
      <c r="N31" s="14"/>
      <c r="O31" s="14"/>
      <c r="P31" s="14"/>
      <c r="Q31" s="11" t="n">
        <f aca="false">SUM(O31-P31)</f>
        <v>0</v>
      </c>
    </row>
    <row r="32" customFormat="false" ht="15.75" hidden="false" customHeight="false" outlineLevel="0" collapsed="false">
      <c r="A32" s="14"/>
      <c r="B32" s="14"/>
      <c r="C32" s="14"/>
      <c r="D32" s="14"/>
      <c r="E32" s="11" t="n">
        <f aca="false">SUM(C32-D32)</f>
        <v>0</v>
      </c>
      <c r="G32" s="14"/>
      <c r="H32" s="14"/>
      <c r="I32" s="14"/>
      <c r="J32" s="14"/>
      <c r="K32" s="11" t="n">
        <f aca="false">SUM(I32-J32)</f>
        <v>0</v>
      </c>
      <c r="M32" s="14"/>
      <c r="N32" s="14"/>
      <c r="O32" s="14"/>
      <c r="P32" s="14"/>
      <c r="Q32" s="11" t="n">
        <f aca="false">SUM(O32-P32)</f>
        <v>0</v>
      </c>
    </row>
    <row r="33" customFormat="false" ht="15.75" hidden="false" customHeight="false" outlineLevel="0" collapsed="false">
      <c r="A33" s="14"/>
      <c r="B33" s="14"/>
      <c r="C33" s="14"/>
      <c r="D33" s="14"/>
      <c r="E33" s="11" t="n">
        <f aca="false">SUM(C33-D33)</f>
        <v>0</v>
      </c>
      <c r="G33" s="14"/>
      <c r="H33" s="14"/>
      <c r="I33" s="14"/>
      <c r="J33" s="14"/>
      <c r="K33" s="11" t="n">
        <f aca="false">SUM(I33-J33)</f>
        <v>0</v>
      </c>
      <c r="M33" s="14"/>
      <c r="N33" s="14"/>
      <c r="O33" s="14"/>
      <c r="P33" s="14"/>
      <c r="Q33" s="11" t="n">
        <f aca="false">SUM(O33-P33)</f>
        <v>0</v>
      </c>
    </row>
    <row r="34" customFormat="false" ht="15.75" hidden="false" customHeight="false" outlineLevel="0" collapsed="false">
      <c r="A34" s="14"/>
      <c r="B34" s="14"/>
      <c r="C34" s="14"/>
      <c r="D34" s="14"/>
      <c r="E34" s="11" t="n">
        <f aca="false">SUM(C34-D34)</f>
        <v>0</v>
      </c>
      <c r="G34" s="14"/>
      <c r="H34" s="14"/>
      <c r="I34" s="14"/>
      <c r="J34" s="14"/>
      <c r="K34" s="11" t="n">
        <f aca="false">SUM(I34-J34)</f>
        <v>0</v>
      </c>
      <c r="M34" s="14"/>
      <c r="N34" s="14"/>
      <c r="O34" s="14"/>
      <c r="P34" s="14"/>
      <c r="Q34" s="11" t="n">
        <f aca="false">SUM(O34-P34)</f>
        <v>0</v>
      </c>
    </row>
    <row r="35" customFormat="false" ht="15.75" hidden="false" customHeight="false" outlineLevel="0" collapsed="false">
      <c r="A35" s="14"/>
      <c r="B35" s="14"/>
      <c r="C35" s="14"/>
      <c r="D35" s="14"/>
      <c r="E35" s="11" t="n">
        <f aca="false">SUM(C35-D35)</f>
        <v>0</v>
      </c>
      <c r="G35" s="14"/>
      <c r="H35" s="14"/>
      <c r="I35" s="14"/>
      <c r="J35" s="14"/>
      <c r="K35" s="11" t="n">
        <f aca="false">SUM(I35-J35)</f>
        <v>0</v>
      </c>
      <c r="M35" s="14"/>
      <c r="N35" s="14"/>
      <c r="O35" s="14"/>
      <c r="P35" s="14"/>
      <c r="Q35" s="11" t="n">
        <f aca="false">SUM(O35-P35)</f>
        <v>0</v>
      </c>
    </row>
    <row r="36" customFormat="false" ht="15.75" hidden="false" customHeight="false" outlineLevel="0" collapsed="false">
      <c r="A36" s="14"/>
      <c r="B36" s="14"/>
      <c r="C36" s="14"/>
      <c r="D36" s="14"/>
      <c r="E36" s="11" t="n">
        <f aca="false">SUM(C36-D36)</f>
        <v>0</v>
      </c>
      <c r="G36" s="14"/>
      <c r="H36" s="14"/>
      <c r="I36" s="14"/>
      <c r="J36" s="14"/>
      <c r="K36" s="11" t="n">
        <f aca="false">SUM(I36-J36)</f>
        <v>0</v>
      </c>
      <c r="M36" s="14"/>
      <c r="N36" s="14"/>
      <c r="O36" s="14"/>
      <c r="P36" s="14"/>
      <c r="Q36" s="11" t="n">
        <f aca="false">SUM(O36-P36)</f>
        <v>0</v>
      </c>
    </row>
    <row r="37" customFormat="false" ht="15.75" hidden="false" customHeight="false" outlineLevel="0" collapsed="false">
      <c r="A37" s="14"/>
      <c r="B37" s="14"/>
      <c r="C37" s="14"/>
      <c r="D37" s="14"/>
      <c r="E37" s="11" t="n">
        <f aca="false">SUM(C37-D37)</f>
        <v>0</v>
      </c>
      <c r="G37" s="14"/>
      <c r="H37" s="14"/>
      <c r="I37" s="14"/>
      <c r="J37" s="14"/>
      <c r="K37" s="11" t="n">
        <f aca="false">SUM(I37-J37)</f>
        <v>0</v>
      </c>
      <c r="M37" s="14"/>
      <c r="N37" s="14"/>
      <c r="O37" s="14"/>
      <c r="P37" s="14"/>
      <c r="Q37" s="11" t="n">
        <f aca="false">SUM(O37-P37)</f>
        <v>0</v>
      </c>
    </row>
    <row r="38" customFormat="false" ht="15.75" hidden="false" customHeight="false" outlineLevel="0" collapsed="false">
      <c r="A38" s="14"/>
      <c r="B38" s="14"/>
      <c r="C38" s="14"/>
      <c r="D38" s="14"/>
      <c r="E38" s="11" t="n">
        <f aca="false">SUM(C38-D38)</f>
        <v>0</v>
      </c>
      <c r="G38" s="14"/>
      <c r="H38" s="14"/>
      <c r="I38" s="14"/>
      <c r="J38" s="14"/>
      <c r="K38" s="11" t="n">
        <f aca="false">SUM(I38-J38)</f>
        <v>0</v>
      </c>
      <c r="M38" s="14"/>
      <c r="N38" s="14"/>
      <c r="O38" s="14"/>
      <c r="P38" s="14"/>
      <c r="Q38" s="11" t="n">
        <f aca="false">SUM(O38-P38)</f>
        <v>0</v>
      </c>
    </row>
    <row r="39" customFormat="false" ht="15.75" hidden="false" customHeight="false" outlineLevel="0" collapsed="false">
      <c r="A39" s="14"/>
      <c r="B39" s="14"/>
      <c r="C39" s="14"/>
      <c r="D39" s="14"/>
      <c r="E39" s="11" t="n">
        <f aca="false">SUM(C39-D39)</f>
        <v>0</v>
      </c>
      <c r="G39" s="14"/>
      <c r="H39" s="14"/>
      <c r="I39" s="14"/>
      <c r="J39" s="14"/>
      <c r="K39" s="11" t="n">
        <f aca="false">SUM(I39-J39)</f>
        <v>0</v>
      </c>
      <c r="M39" s="14"/>
      <c r="N39" s="14"/>
      <c r="O39" s="14"/>
      <c r="P39" s="14"/>
      <c r="Q39" s="11" t="n">
        <f aca="false">SUM(O39-P39)</f>
        <v>0</v>
      </c>
    </row>
    <row r="40" customFormat="false" ht="15.75" hidden="false" customHeight="false" outlineLevel="0" collapsed="false">
      <c r="A40" s="14"/>
      <c r="B40" s="14"/>
      <c r="C40" s="14"/>
      <c r="D40" s="14"/>
      <c r="E40" s="11" t="n">
        <f aca="false">SUM(C40-D40)</f>
        <v>0</v>
      </c>
      <c r="G40" s="14"/>
      <c r="H40" s="14"/>
      <c r="I40" s="14"/>
      <c r="J40" s="14"/>
      <c r="K40" s="11" t="n">
        <f aca="false">SUM(I40-J40)</f>
        <v>0</v>
      </c>
      <c r="M40" s="14"/>
      <c r="N40" s="14"/>
      <c r="O40" s="14"/>
      <c r="P40" s="14"/>
      <c r="Q40" s="11" t="n">
        <f aca="false">SUM(O40-P40)</f>
        <v>0</v>
      </c>
    </row>
    <row r="41" customFormat="false" ht="15.75" hidden="false" customHeight="false" outlineLevel="0" collapsed="false">
      <c r="A41" s="14"/>
      <c r="B41" s="14"/>
      <c r="C41" s="14"/>
      <c r="D41" s="14"/>
      <c r="E41" s="11" t="n">
        <f aca="false">SUM(C41-D41)</f>
        <v>0</v>
      </c>
      <c r="G41" s="14"/>
      <c r="H41" s="14"/>
      <c r="I41" s="14"/>
      <c r="J41" s="14"/>
      <c r="K41" s="11" t="n">
        <f aca="false">SUM(I41-J41)</f>
        <v>0</v>
      </c>
      <c r="M41" s="14"/>
      <c r="N41" s="14"/>
      <c r="O41" s="14"/>
      <c r="P41" s="14"/>
      <c r="Q41" s="11" t="n">
        <f aca="false">SUM(O41-P41)</f>
        <v>0</v>
      </c>
    </row>
    <row r="42" customFormat="false" ht="15.75" hidden="false" customHeight="false" outlineLevel="0" collapsed="false">
      <c r="A42" s="14"/>
      <c r="B42" s="14"/>
      <c r="C42" s="14"/>
      <c r="D42" s="14"/>
      <c r="E42" s="11" t="n">
        <f aca="false">SUM(C42-D42)</f>
        <v>0</v>
      </c>
      <c r="G42" s="14"/>
      <c r="H42" s="14"/>
      <c r="I42" s="14"/>
      <c r="J42" s="14"/>
      <c r="K42" s="11" t="n">
        <f aca="false">SUM(I42-J42)</f>
        <v>0</v>
      </c>
      <c r="M42" s="14"/>
      <c r="N42" s="14"/>
      <c r="O42" s="14"/>
      <c r="P42" s="14"/>
      <c r="Q42" s="11" t="n">
        <f aca="false">SUM(O42-P42)</f>
        <v>0</v>
      </c>
    </row>
    <row r="43" customFormat="false" ht="15.75" hidden="false" customHeight="false" outlineLevel="0" collapsed="false">
      <c r="A43" s="14"/>
      <c r="B43" s="14"/>
      <c r="C43" s="14"/>
      <c r="D43" s="14"/>
      <c r="E43" s="11" t="n">
        <f aca="false">SUM(C43-D43)</f>
        <v>0</v>
      </c>
      <c r="G43" s="14"/>
      <c r="H43" s="14"/>
      <c r="I43" s="14"/>
      <c r="J43" s="14"/>
      <c r="K43" s="11" t="n">
        <f aca="false">SUM(I43-J43)</f>
        <v>0</v>
      </c>
      <c r="M43" s="14"/>
      <c r="N43" s="14"/>
      <c r="O43" s="14"/>
      <c r="P43" s="14"/>
      <c r="Q43" s="11" t="n">
        <f aca="false">SUM(O43-P43)</f>
        <v>0</v>
      </c>
    </row>
    <row r="44" customFormat="false" ht="15.75" hidden="false" customHeight="false" outlineLevel="0" collapsed="false">
      <c r="A44" s="14"/>
      <c r="B44" s="14"/>
      <c r="C44" s="14"/>
      <c r="D44" s="14"/>
      <c r="E44" s="11" t="n">
        <f aca="false">SUM(C44-D44)</f>
        <v>0</v>
      </c>
      <c r="G44" s="14"/>
      <c r="H44" s="14"/>
      <c r="I44" s="14"/>
      <c r="J44" s="14"/>
      <c r="K44" s="11" t="n">
        <f aca="false">SUM(I44-J44)</f>
        <v>0</v>
      </c>
      <c r="M44" s="14"/>
      <c r="N44" s="14"/>
      <c r="O44" s="14"/>
      <c r="P44" s="14"/>
      <c r="Q44" s="11" t="n">
        <f aca="false">SUM(O44-P44)</f>
        <v>0</v>
      </c>
    </row>
    <row r="45" customFormat="false" ht="15.75" hidden="false" customHeight="false" outlineLevel="0" collapsed="false">
      <c r="A45" s="14"/>
      <c r="B45" s="14"/>
      <c r="C45" s="14"/>
      <c r="D45" s="14"/>
      <c r="E45" s="11" t="n">
        <f aca="false">SUM(C45-D45)</f>
        <v>0</v>
      </c>
      <c r="G45" s="14"/>
      <c r="H45" s="14"/>
      <c r="I45" s="14"/>
      <c r="J45" s="14"/>
      <c r="K45" s="11" t="n">
        <f aca="false">SUM(I45-J45)</f>
        <v>0</v>
      </c>
      <c r="M45" s="14"/>
      <c r="N45" s="14"/>
      <c r="O45" s="14"/>
      <c r="P45" s="14"/>
      <c r="Q45" s="11" t="n">
        <f aca="false">SUM(O45-P45)</f>
        <v>0</v>
      </c>
    </row>
    <row r="46" customFormat="false" ht="15.75" hidden="false" customHeight="false" outlineLevel="0" collapsed="false">
      <c r="A46" s="14"/>
      <c r="B46" s="14"/>
      <c r="C46" s="14"/>
      <c r="D46" s="14"/>
      <c r="E46" s="11" t="n">
        <f aca="false">SUM(C46-D46)</f>
        <v>0</v>
      </c>
      <c r="G46" s="14"/>
      <c r="H46" s="14"/>
      <c r="I46" s="14"/>
      <c r="J46" s="14"/>
      <c r="K46" s="11" t="n">
        <f aca="false">SUM(I46-J46)</f>
        <v>0</v>
      </c>
      <c r="M46" s="14"/>
      <c r="N46" s="14"/>
      <c r="O46" s="14"/>
      <c r="P46" s="14"/>
      <c r="Q46" s="11" t="n">
        <f aca="false">SUM(O46-P46)</f>
        <v>0</v>
      </c>
    </row>
    <row r="47" customFormat="false" ht="15.75" hidden="false" customHeight="false" outlineLevel="0" collapsed="false">
      <c r="A47" s="14"/>
      <c r="B47" s="14"/>
      <c r="C47" s="14"/>
      <c r="D47" s="14"/>
      <c r="E47" s="11" t="n">
        <f aca="false">SUM(C47-D47)</f>
        <v>0</v>
      </c>
      <c r="G47" s="14"/>
      <c r="H47" s="14"/>
      <c r="I47" s="14"/>
      <c r="J47" s="14"/>
      <c r="K47" s="11" t="n">
        <f aca="false">SUM(I47-J47)</f>
        <v>0</v>
      </c>
      <c r="M47" s="14"/>
      <c r="N47" s="14"/>
      <c r="O47" s="14"/>
      <c r="P47" s="14"/>
      <c r="Q47" s="11" t="n">
        <f aca="false">SUM(O47-P47)</f>
        <v>0</v>
      </c>
    </row>
    <row r="48" customFormat="false" ht="15.75" hidden="false" customHeight="false" outlineLevel="0" collapsed="false">
      <c r="A48" s="14"/>
      <c r="B48" s="14"/>
      <c r="C48" s="14"/>
      <c r="D48" s="14"/>
      <c r="E48" s="11" t="n">
        <f aca="false">SUM(C48-D48)</f>
        <v>0</v>
      </c>
      <c r="G48" s="14"/>
      <c r="H48" s="14"/>
      <c r="I48" s="14"/>
      <c r="J48" s="14"/>
      <c r="K48" s="11" t="n">
        <f aca="false">SUM(I48-J48)</f>
        <v>0</v>
      </c>
      <c r="M48" s="14"/>
      <c r="N48" s="14"/>
      <c r="O48" s="14"/>
      <c r="P48" s="14"/>
      <c r="Q48" s="11" t="n">
        <f aca="false">SUM(O48-P48)</f>
        <v>0</v>
      </c>
    </row>
    <row r="49" customFormat="false" ht="15.75" hidden="false" customHeight="false" outlineLevel="0" collapsed="false">
      <c r="A49" s="14"/>
      <c r="B49" s="14"/>
      <c r="C49" s="14"/>
      <c r="D49" s="14"/>
      <c r="E49" s="11" t="n">
        <f aca="false">SUM(C49-D49)</f>
        <v>0</v>
      </c>
      <c r="G49" s="14"/>
      <c r="H49" s="14"/>
      <c r="I49" s="14"/>
      <c r="J49" s="14"/>
      <c r="K49" s="11" t="n">
        <f aca="false">SUM(I49-J49)</f>
        <v>0</v>
      </c>
      <c r="M49" s="14"/>
      <c r="N49" s="14"/>
      <c r="O49" s="14"/>
      <c r="P49" s="14"/>
      <c r="Q49" s="11" t="n">
        <f aca="false">SUM(O49-P49)</f>
        <v>0</v>
      </c>
    </row>
    <row r="50" customFormat="false" ht="15.75" hidden="false" customHeight="false" outlineLevel="0" collapsed="false">
      <c r="A50" s="14"/>
      <c r="B50" s="14"/>
      <c r="C50" s="14"/>
      <c r="D50" s="14"/>
      <c r="E50" s="11" t="n">
        <f aca="false">SUM(C50-D50)</f>
        <v>0</v>
      </c>
      <c r="G50" s="14"/>
      <c r="H50" s="14"/>
      <c r="I50" s="14"/>
      <c r="J50" s="14"/>
      <c r="K50" s="11" t="n">
        <f aca="false">SUM(I50-J50)</f>
        <v>0</v>
      </c>
      <c r="M50" s="14"/>
      <c r="N50" s="14"/>
      <c r="O50" s="14"/>
      <c r="P50" s="14"/>
      <c r="Q50" s="11" t="n">
        <f aca="false">SUM(O50-P50)</f>
        <v>0</v>
      </c>
    </row>
    <row r="51" customFormat="false" ht="15.75" hidden="false" customHeight="false" outlineLevel="0" collapsed="false">
      <c r="A51" s="14"/>
      <c r="B51" s="14"/>
      <c r="C51" s="14"/>
      <c r="D51" s="14"/>
      <c r="E51" s="11" t="n">
        <f aca="false">SUM(C51-D51)</f>
        <v>0</v>
      </c>
      <c r="G51" s="14"/>
      <c r="H51" s="14"/>
      <c r="I51" s="14"/>
      <c r="J51" s="14"/>
      <c r="K51" s="11" t="n">
        <f aca="false">SUM(I51-J51)</f>
        <v>0</v>
      </c>
      <c r="M51" s="14"/>
      <c r="N51" s="14"/>
      <c r="O51" s="14"/>
      <c r="P51" s="14"/>
      <c r="Q51" s="11" t="n">
        <f aca="false">SUM(O51-P51)</f>
        <v>0</v>
      </c>
    </row>
    <row r="52" customFormat="false" ht="15.75" hidden="false" customHeight="false" outlineLevel="0" collapsed="false">
      <c r="A52" s="14"/>
      <c r="B52" s="14"/>
      <c r="C52" s="14"/>
      <c r="D52" s="14"/>
      <c r="E52" s="11" t="n">
        <f aca="false">SUM(C52-D52)</f>
        <v>0</v>
      </c>
      <c r="G52" s="14"/>
      <c r="H52" s="14"/>
      <c r="I52" s="14"/>
      <c r="J52" s="14"/>
      <c r="K52" s="11" t="n">
        <f aca="false">SUM(I52-J52)</f>
        <v>0</v>
      </c>
      <c r="M52" s="14"/>
      <c r="N52" s="14"/>
      <c r="O52" s="14"/>
      <c r="P52" s="14"/>
      <c r="Q52" s="11" t="n">
        <f aca="false">SUM(O52-P52)</f>
        <v>0</v>
      </c>
    </row>
    <row r="53" customFormat="false" ht="15.75" hidden="false" customHeight="false" outlineLevel="0" collapsed="false"/>
    <row r="54" customFormat="false" ht="15.75" hidden="false" customHeight="false" outlineLevel="0" collapsed="false">
      <c r="C54" s="18" t="s">
        <v>24</v>
      </c>
      <c r="D54" s="18" t="s">
        <v>24</v>
      </c>
      <c r="E54" s="19" t="s">
        <v>24</v>
      </c>
      <c r="I54" s="18" t="s">
        <v>24</v>
      </c>
      <c r="J54" s="18" t="s">
        <v>24</v>
      </c>
      <c r="K54" s="19" t="s">
        <v>24</v>
      </c>
      <c r="O54" s="18" t="s">
        <v>24</v>
      </c>
      <c r="P54" s="18" t="s">
        <v>24</v>
      </c>
      <c r="Q54" s="19" t="s">
        <v>24</v>
      </c>
    </row>
    <row r="55" customFormat="false" ht="15.75" hidden="false" customHeight="false" outlineLevel="0" collapsed="false">
      <c r="C55" s="11" t="n">
        <f aca="false">SUM(C4:C52)</f>
        <v>20</v>
      </c>
      <c r="D55" s="11" t="n">
        <f aca="false">SUM(D4:D52)</f>
        <v>20</v>
      </c>
      <c r="E55" s="11" t="n">
        <f aca="false">SUM(E4:E52)</f>
        <v>0</v>
      </c>
      <c r="I55" s="11" t="n">
        <f aca="false">SUM(I4:I52)</f>
        <v>270</v>
      </c>
      <c r="J55" s="11" t="n">
        <f aca="false">SUM(J4:J52)</f>
        <v>714</v>
      </c>
      <c r="K55" s="11" t="n">
        <f aca="false">SUM(K4:K52)</f>
        <v>-444</v>
      </c>
      <c r="O55" s="11" t="n">
        <f aca="false">SUM(O4:O52)</f>
        <v>684</v>
      </c>
      <c r="P55" s="11" t="n">
        <f aca="false">SUM(P4:P52)</f>
        <v>1115</v>
      </c>
      <c r="Q55" s="11" t="n">
        <f aca="false">SUM(Q4:Q52)</f>
        <v>-431</v>
      </c>
    </row>
    <row r="61" customFormat="false" ht="15" hidden="false" customHeight="false" outlineLevel="0" collapsed="false">
      <c r="A61" s="20"/>
      <c r="C61" s="21"/>
      <c r="D61" s="21"/>
      <c r="G61" s="20"/>
      <c r="I61" s="21"/>
      <c r="J61" s="21"/>
      <c r="M61" s="20"/>
      <c r="O61" s="21"/>
      <c r="P61" s="21"/>
    </row>
    <row r="62" customFormat="false" ht="15" hidden="false" customHeight="false" outlineLevel="0" collapsed="false">
      <c r="A62" s="20"/>
      <c r="C62" s="22"/>
      <c r="G62" s="20"/>
      <c r="I62" s="22"/>
      <c r="M62" s="20"/>
      <c r="O62" s="22"/>
    </row>
  </sheetData>
  <mergeCells count="3">
    <mergeCell ref="A1:E2"/>
    <mergeCell ref="G1:K2"/>
    <mergeCell ref="M1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M3" activeCellId="0" sqref="M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13.57"/>
    <col collapsed="false" customWidth="true" hidden="false" outlineLevel="0" max="10" min="10" style="0" width="13.71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0" width="13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2</v>
      </c>
      <c r="N1" s="1"/>
      <c r="O1" s="1"/>
      <c r="P1" s="1"/>
      <c r="Q1" s="1"/>
    </row>
    <row r="2" customFormat="false" ht="15.75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  <c r="K2" s="1"/>
      <c r="M2" s="1"/>
      <c r="N2" s="1"/>
      <c r="O2" s="1"/>
      <c r="P2" s="1"/>
      <c r="Q2" s="1"/>
    </row>
    <row r="3" customFormat="false" ht="15.75" hidden="false" customHeight="false" outlineLevel="0" collapsed="false">
      <c r="A3" s="2" t="s">
        <v>3</v>
      </c>
      <c r="B3" s="3" t="s">
        <v>4</v>
      </c>
      <c r="C3" s="4" t="s">
        <v>5</v>
      </c>
      <c r="D3" s="4" t="s">
        <v>6</v>
      </c>
      <c r="E3" s="5" t="s">
        <v>7</v>
      </c>
      <c r="G3" s="6" t="s">
        <v>3</v>
      </c>
      <c r="H3" s="7" t="s">
        <v>4</v>
      </c>
      <c r="I3" s="8" t="s">
        <v>5</v>
      </c>
      <c r="J3" s="8" t="s">
        <v>6</v>
      </c>
      <c r="K3" s="9" t="s">
        <v>7</v>
      </c>
      <c r="M3" s="2" t="s">
        <v>3</v>
      </c>
      <c r="N3" s="3" t="s">
        <v>4</v>
      </c>
      <c r="O3" s="4" t="s">
        <v>5</v>
      </c>
      <c r="P3" s="4" t="s">
        <v>6</v>
      </c>
      <c r="Q3" s="5" t="s">
        <v>7</v>
      </c>
    </row>
    <row r="4" customFormat="false" ht="15.75" hidden="false" customHeight="false" outlineLevel="0" collapsed="false">
      <c r="A4" s="10" t="n">
        <v>45717</v>
      </c>
      <c r="B4" s="11" t="s">
        <v>71</v>
      </c>
      <c r="C4" s="11"/>
      <c r="D4" s="11" t="n">
        <v>20</v>
      </c>
      <c r="E4" s="11" t="n">
        <f aca="false">SUM(C4-D4)</f>
        <v>-20</v>
      </c>
      <c r="G4" s="12" t="n">
        <v>45720</v>
      </c>
      <c r="H4" s="13" t="s">
        <v>72</v>
      </c>
      <c r="I4" s="13"/>
      <c r="J4" s="13" t="n">
        <v>13</v>
      </c>
      <c r="K4" s="13" t="n">
        <f aca="false">SUM(I4-J4)</f>
        <v>-13</v>
      </c>
      <c r="M4" s="10" t="n">
        <v>45720</v>
      </c>
      <c r="N4" s="11" t="s">
        <v>40</v>
      </c>
      <c r="O4" s="11" t="n">
        <v>20</v>
      </c>
      <c r="P4" s="11" t="n">
        <v>10</v>
      </c>
      <c r="Q4" s="11" t="n">
        <f aca="false">SUM(O4-P4)</f>
        <v>10</v>
      </c>
    </row>
    <row r="5" customFormat="false" ht="15.75" hidden="false" customHeight="false" outlineLevel="0" collapsed="false">
      <c r="A5" s="10" t="n">
        <v>45717</v>
      </c>
      <c r="B5" s="14" t="s">
        <v>28</v>
      </c>
      <c r="C5" s="14"/>
      <c r="D5" s="14" t="n">
        <v>10</v>
      </c>
      <c r="E5" s="11" t="n">
        <f aca="false">SUM(C5-D5)</f>
        <v>-10</v>
      </c>
      <c r="G5" s="12" t="n">
        <v>45721</v>
      </c>
      <c r="H5" s="15" t="s">
        <v>73</v>
      </c>
      <c r="I5" s="15"/>
      <c r="J5" s="15" t="n">
        <v>16</v>
      </c>
      <c r="K5" s="13" t="n">
        <f aca="false">SUM(I5-J5)</f>
        <v>-16</v>
      </c>
      <c r="M5" s="10" t="n">
        <v>45720</v>
      </c>
      <c r="N5" s="14" t="s">
        <v>74</v>
      </c>
      <c r="O5" s="14" t="n">
        <v>10</v>
      </c>
      <c r="P5" s="14"/>
      <c r="Q5" s="11" t="n">
        <f aca="false">SUM(O5-P5)</f>
        <v>10</v>
      </c>
    </row>
    <row r="6" customFormat="false" ht="15.75" hidden="false" customHeight="false" outlineLevel="0" collapsed="false">
      <c r="A6" s="10" t="n">
        <v>45731</v>
      </c>
      <c r="B6" s="14" t="s">
        <v>75</v>
      </c>
      <c r="C6" s="14"/>
      <c r="D6" s="14" t="n">
        <v>250</v>
      </c>
      <c r="E6" s="11" t="n">
        <f aca="false">SUM(C6-D6)</f>
        <v>-250</v>
      </c>
      <c r="G6" s="12" t="n">
        <v>45722</v>
      </c>
      <c r="H6" s="15" t="s">
        <v>2</v>
      </c>
      <c r="I6" s="15"/>
      <c r="J6" s="15" t="n">
        <v>430</v>
      </c>
      <c r="K6" s="13" t="n">
        <f aca="false">SUM(I6-J6)</f>
        <v>-430</v>
      </c>
      <c r="M6" s="10" t="n">
        <v>45747</v>
      </c>
      <c r="N6" s="14" t="s">
        <v>55</v>
      </c>
      <c r="O6" s="14" t="n">
        <v>15</v>
      </c>
      <c r="P6" s="14"/>
      <c r="Q6" s="11" t="n">
        <f aca="false">SUM(O6-P6)</f>
        <v>15</v>
      </c>
    </row>
    <row r="7" customFormat="false" ht="15.75" hidden="false" customHeight="false" outlineLevel="0" collapsed="false">
      <c r="A7" s="16" t="n">
        <v>45738</v>
      </c>
      <c r="B7" s="14" t="s">
        <v>76</v>
      </c>
      <c r="C7" s="14"/>
      <c r="D7" s="14" t="n">
        <v>5</v>
      </c>
      <c r="E7" s="11" t="n">
        <f aca="false">SUM(C7-D7)</f>
        <v>-5</v>
      </c>
      <c r="G7" s="17" t="n">
        <v>45724</v>
      </c>
      <c r="H7" s="15" t="s">
        <v>77</v>
      </c>
      <c r="I7" s="15"/>
      <c r="J7" s="15" t="n">
        <v>40</v>
      </c>
      <c r="K7" s="13" t="n">
        <f aca="false">SUM(I7-J7)</f>
        <v>-40</v>
      </c>
      <c r="M7" s="10" t="n">
        <v>45747</v>
      </c>
      <c r="N7" s="14" t="s">
        <v>38</v>
      </c>
      <c r="O7" s="14"/>
      <c r="P7" s="14" t="n">
        <v>30</v>
      </c>
      <c r="Q7" s="11" t="n">
        <f aca="false">SUM(O7-P7)</f>
        <v>-30</v>
      </c>
    </row>
    <row r="8" customFormat="false" ht="15.75" hidden="false" customHeight="false" outlineLevel="0" collapsed="false">
      <c r="A8" s="16" t="n">
        <v>45739</v>
      </c>
      <c r="B8" s="14" t="s">
        <v>28</v>
      </c>
      <c r="C8" s="14"/>
      <c r="D8" s="14" t="n">
        <v>10</v>
      </c>
      <c r="E8" s="11" t="n">
        <f aca="false">SUM(C8-D8)</f>
        <v>-10</v>
      </c>
      <c r="G8" s="17" t="n">
        <v>45727</v>
      </c>
      <c r="H8" s="15" t="s">
        <v>44</v>
      </c>
      <c r="I8" s="15"/>
      <c r="J8" s="15" t="n">
        <v>500</v>
      </c>
      <c r="K8" s="13" t="n">
        <f aca="false">SUM(I8-J8)</f>
        <v>-500</v>
      </c>
      <c r="M8" s="10" t="n">
        <v>45747</v>
      </c>
      <c r="N8" s="14" t="s">
        <v>40</v>
      </c>
      <c r="O8" s="14" t="n">
        <v>10</v>
      </c>
      <c r="P8" s="14" t="n">
        <v>5</v>
      </c>
      <c r="Q8" s="11" t="n">
        <f aca="false">SUM(O8-P8)</f>
        <v>5</v>
      </c>
    </row>
    <row r="9" customFormat="false" ht="15.75" hidden="false" customHeight="false" outlineLevel="0" collapsed="false">
      <c r="A9" s="16" t="n">
        <v>45742</v>
      </c>
      <c r="B9" s="14" t="s">
        <v>73</v>
      </c>
      <c r="C9" s="14"/>
      <c r="D9" s="14" t="n">
        <v>1</v>
      </c>
      <c r="E9" s="11" t="n">
        <f aca="false">SUM(C9-D9)</f>
        <v>-1</v>
      </c>
      <c r="G9" s="17" t="n">
        <v>45731</v>
      </c>
      <c r="H9" s="15" t="s">
        <v>78</v>
      </c>
      <c r="I9" s="15" t="n">
        <v>200</v>
      </c>
      <c r="J9" s="15"/>
      <c r="K9" s="13" t="n">
        <f aca="false">SUM(I9-J9)</f>
        <v>200</v>
      </c>
      <c r="M9" s="16"/>
      <c r="N9" s="14"/>
      <c r="O9" s="14"/>
      <c r="P9" s="14"/>
      <c r="Q9" s="11" t="n">
        <f aca="false">SUM(O9-P9)</f>
        <v>0</v>
      </c>
    </row>
    <row r="10" customFormat="false" ht="15.75" hidden="false" customHeight="false" outlineLevel="0" collapsed="false">
      <c r="A10" s="16" t="n">
        <v>45747</v>
      </c>
      <c r="B10" s="14" t="s">
        <v>79</v>
      </c>
      <c r="C10" s="14"/>
      <c r="D10" s="14" t="n">
        <v>15</v>
      </c>
      <c r="E10" s="11" t="n">
        <f aca="false">SUM(C10-D10)</f>
        <v>-15</v>
      </c>
      <c r="G10" s="17" t="n">
        <v>45733</v>
      </c>
      <c r="H10" s="15" t="s">
        <v>80</v>
      </c>
      <c r="I10" s="15" t="n">
        <v>120</v>
      </c>
      <c r="J10" s="15"/>
      <c r="K10" s="13" t="n">
        <f aca="false">SUM(I10-J10)</f>
        <v>120</v>
      </c>
      <c r="M10" s="16"/>
      <c r="N10" s="14"/>
      <c r="O10" s="14"/>
      <c r="P10" s="14"/>
      <c r="Q10" s="11" t="n">
        <f aca="false">SUM(O10-P10)</f>
        <v>0</v>
      </c>
    </row>
    <row r="11" customFormat="false" ht="15.75" hidden="false" customHeight="false" outlineLevel="0" collapsed="false">
      <c r="A11" s="14"/>
      <c r="B11" s="14"/>
      <c r="C11" s="14"/>
      <c r="D11" s="14"/>
      <c r="E11" s="11" t="n">
        <f aca="false">SUM(C11-D11)</f>
        <v>0</v>
      </c>
      <c r="G11" s="17" t="n">
        <v>45736</v>
      </c>
      <c r="H11" s="15" t="s">
        <v>19</v>
      </c>
      <c r="I11" s="15" t="n">
        <v>40</v>
      </c>
      <c r="J11" s="15"/>
      <c r="K11" s="13" t="n">
        <f aca="false">SUM(I11-J11)</f>
        <v>40</v>
      </c>
      <c r="M11" s="16"/>
      <c r="N11" s="14"/>
      <c r="O11" s="14"/>
      <c r="P11" s="14"/>
      <c r="Q11" s="11" t="n">
        <f aca="false">SUM(O11-P11)</f>
        <v>0</v>
      </c>
    </row>
    <row r="12" customFormat="false" ht="15.75" hidden="false" customHeight="false" outlineLevel="0" collapsed="false">
      <c r="A12" s="14"/>
      <c r="B12" s="14"/>
      <c r="C12" s="14"/>
      <c r="D12" s="14"/>
      <c r="E12" s="11" t="n">
        <f aca="false">SUM(C12-D12)</f>
        <v>0</v>
      </c>
      <c r="G12" s="17" t="n">
        <v>45737</v>
      </c>
      <c r="H12" s="15" t="s">
        <v>73</v>
      </c>
      <c r="I12" s="15"/>
      <c r="J12" s="15" t="n">
        <v>10</v>
      </c>
      <c r="K12" s="13" t="n">
        <f aca="false">SUM(I12-J12)</f>
        <v>-10</v>
      </c>
      <c r="M12" s="16"/>
      <c r="N12" s="14"/>
      <c r="O12" s="14"/>
      <c r="P12" s="14"/>
      <c r="Q12" s="11" t="n">
        <f aca="false">SUM(O12-P12)</f>
        <v>0</v>
      </c>
    </row>
    <row r="13" customFormat="false" ht="15.75" hidden="false" customHeight="false" outlineLevel="0" collapsed="false">
      <c r="A13" s="14"/>
      <c r="B13" s="14"/>
      <c r="C13" s="14"/>
      <c r="D13" s="14"/>
      <c r="E13" s="11" t="n">
        <f aca="false">SUM(C13-D13)</f>
        <v>0</v>
      </c>
      <c r="G13" s="17" t="n">
        <v>45738</v>
      </c>
      <c r="H13" s="15" t="s">
        <v>19</v>
      </c>
      <c r="I13" s="15" t="n">
        <v>55</v>
      </c>
      <c r="J13" s="15"/>
      <c r="K13" s="13" t="n">
        <f aca="false">SUM(I13-J13)</f>
        <v>55</v>
      </c>
      <c r="M13" s="16"/>
      <c r="N13" s="14"/>
      <c r="O13" s="14"/>
      <c r="P13" s="14"/>
      <c r="Q13" s="11" t="n">
        <f aca="false">SUM(O13-P13)</f>
        <v>0</v>
      </c>
    </row>
    <row r="14" customFormat="false" ht="15.75" hidden="false" customHeight="false" outlineLevel="0" collapsed="false">
      <c r="A14" s="14"/>
      <c r="B14" s="14"/>
      <c r="C14" s="14"/>
      <c r="D14" s="14"/>
      <c r="E14" s="11" t="n">
        <f aca="false">SUM(C14-D14)</f>
        <v>0</v>
      </c>
      <c r="G14" s="17" t="n">
        <v>45738</v>
      </c>
      <c r="H14" s="15" t="s">
        <v>81</v>
      </c>
      <c r="I14" s="15"/>
      <c r="J14" s="15" t="n">
        <v>30</v>
      </c>
      <c r="K14" s="13" t="n">
        <f aca="false">SUM(I14-J14)</f>
        <v>-30</v>
      </c>
      <c r="M14" s="16"/>
      <c r="N14" s="14"/>
      <c r="O14" s="14"/>
      <c r="P14" s="14"/>
      <c r="Q14" s="11" t="n">
        <f aca="false">SUM(O14-P14)</f>
        <v>0</v>
      </c>
    </row>
    <row r="15" customFormat="false" ht="15.75" hidden="false" customHeight="false" outlineLevel="0" collapsed="false">
      <c r="A15" s="14"/>
      <c r="B15" s="14"/>
      <c r="C15" s="14"/>
      <c r="D15" s="14"/>
      <c r="E15" s="11" t="n">
        <f aca="false">SUM(C15-D15)</f>
        <v>0</v>
      </c>
      <c r="G15" s="17" t="n">
        <v>45739</v>
      </c>
      <c r="H15" s="15" t="s">
        <v>82</v>
      </c>
      <c r="I15" s="15"/>
      <c r="J15" s="15" t="n">
        <v>7</v>
      </c>
      <c r="K15" s="13" t="n">
        <f aca="false">SUM(I15-J15)</f>
        <v>-7</v>
      </c>
      <c r="M15" s="16"/>
      <c r="N15" s="14"/>
      <c r="O15" s="14"/>
      <c r="P15" s="14"/>
      <c r="Q15" s="11" t="n">
        <f aca="false">SUM(O15-P15)</f>
        <v>0</v>
      </c>
    </row>
    <row r="16" customFormat="false" ht="15.75" hidden="false" customHeight="false" outlineLevel="0" collapsed="false">
      <c r="A16" s="14"/>
      <c r="B16" s="14"/>
      <c r="C16" s="14"/>
      <c r="D16" s="14"/>
      <c r="E16" s="11" t="n">
        <f aca="false">SUM(C16-D16)</f>
        <v>0</v>
      </c>
      <c r="G16" s="17" t="n">
        <v>45741</v>
      </c>
      <c r="H16" s="15" t="s">
        <v>19</v>
      </c>
      <c r="I16" s="15" t="n">
        <v>40</v>
      </c>
      <c r="J16" s="15"/>
      <c r="K16" s="13" t="n">
        <f aca="false">SUM(I16-J16)</f>
        <v>40</v>
      </c>
      <c r="M16" s="16"/>
      <c r="N16" s="14"/>
      <c r="O16" s="14"/>
      <c r="P16" s="14"/>
      <c r="Q16" s="11" t="n">
        <f aca="false">SUM(O16-P16)</f>
        <v>0</v>
      </c>
    </row>
    <row r="17" customFormat="false" ht="15.75" hidden="false" customHeight="false" outlineLevel="0" collapsed="false">
      <c r="A17" s="14"/>
      <c r="B17" s="14"/>
      <c r="C17" s="14"/>
      <c r="D17" s="14"/>
      <c r="E17" s="11" t="n">
        <f aca="false">SUM(C17-D17)</f>
        <v>0</v>
      </c>
      <c r="G17" s="17" t="n">
        <v>45742</v>
      </c>
      <c r="H17" s="15" t="s">
        <v>83</v>
      </c>
      <c r="I17" s="15"/>
      <c r="J17" s="15" t="n">
        <v>2</v>
      </c>
      <c r="K17" s="13" t="n">
        <f aca="false">SUM(I17-J17)</f>
        <v>-2</v>
      </c>
      <c r="M17" s="16"/>
      <c r="N17" s="14"/>
      <c r="O17" s="14"/>
      <c r="P17" s="14"/>
      <c r="Q17" s="11" t="n">
        <f aca="false">SUM(O17-P17)</f>
        <v>0</v>
      </c>
    </row>
    <row r="18" customFormat="false" ht="15.75" hidden="false" customHeight="false" outlineLevel="0" collapsed="false">
      <c r="A18" s="14"/>
      <c r="B18" s="14"/>
      <c r="C18" s="14"/>
      <c r="D18" s="14"/>
      <c r="E18" s="11" t="n">
        <f aca="false">SUM(C18-D18)</f>
        <v>0</v>
      </c>
      <c r="G18" s="17" t="n">
        <v>45746</v>
      </c>
      <c r="H18" s="15" t="s">
        <v>73</v>
      </c>
      <c r="I18" s="15"/>
      <c r="J18" s="15" t="n">
        <v>10</v>
      </c>
      <c r="K18" s="13" t="n">
        <f aca="false">SUM(I18-J18)</f>
        <v>-10</v>
      </c>
      <c r="M18" s="16"/>
      <c r="N18" s="14"/>
      <c r="O18" s="14"/>
      <c r="P18" s="14"/>
      <c r="Q18" s="11" t="n">
        <f aca="false">SUM(O18-P18)</f>
        <v>0</v>
      </c>
    </row>
    <row r="19" customFormat="false" ht="15.75" hidden="false" customHeight="false" outlineLevel="0" collapsed="false">
      <c r="A19" s="14"/>
      <c r="B19" s="14"/>
      <c r="C19" s="14"/>
      <c r="D19" s="14"/>
      <c r="E19" s="11" t="n">
        <f aca="false">SUM(C19-D19)</f>
        <v>0</v>
      </c>
      <c r="G19" s="17" t="n">
        <v>45746</v>
      </c>
      <c r="H19" s="15" t="s">
        <v>67</v>
      </c>
      <c r="I19" s="15"/>
      <c r="J19" s="15" t="n">
        <v>35</v>
      </c>
      <c r="K19" s="13" t="n">
        <f aca="false">SUM(I19-J19)</f>
        <v>-35</v>
      </c>
      <c r="M19" s="14"/>
      <c r="N19" s="14"/>
      <c r="O19" s="14"/>
      <c r="P19" s="14"/>
      <c r="Q19" s="11" t="n">
        <f aca="false">SUM(O19-P19)</f>
        <v>0</v>
      </c>
    </row>
    <row r="20" customFormat="false" ht="15.75" hidden="true" customHeight="false" outlineLevel="0" collapsed="false">
      <c r="A20" s="14"/>
      <c r="B20" s="14"/>
      <c r="C20" s="14"/>
      <c r="D20" s="14"/>
      <c r="E20" s="11" t="n">
        <f aca="false">SUM(C20-D20)</f>
        <v>0</v>
      </c>
      <c r="G20" s="17"/>
      <c r="H20" s="15"/>
      <c r="I20" s="15"/>
      <c r="J20" s="15"/>
      <c r="K20" s="13" t="n">
        <f aca="false">SUM(I20-J20)</f>
        <v>0</v>
      </c>
      <c r="M20" s="14"/>
      <c r="N20" s="14"/>
      <c r="O20" s="14"/>
      <c r="P20" s="14"/>
      <c r="Q20" s="11" t="n">
        <f aca="false">SUM(O20-P20)</f>
        <v>0</v>
      </c>
    </row>
    <row r="21" customFormat="false" ht="15.75" hidden="true" customHeight="false" outlineLevel="0" collapsed="false">
      <c r="A21" s="14"/>
      <c r="B21" s="14"/>
      <c r="C21" s="14"/>
      <c r="D21" s="14"/>
      <c r="E21" s="11" t="n">
        <f aca="false">SUM(C21-D21)</f>
        <v>0</v>
      </c>
      <c r="G21" s="17"/>
      <c r="H21" s="15"/>
      <c r="I21" s="15"/>
      <c r="J21" s="15"/>
      <c r="K21" s="13" t="n">
        <f aca="false">SUM(I21-J21)</f>
        <v>0</v>
      </c>
      <c r="M21" s="14"/>
      <c r="N21" s="14"/>
      <c r="O21" s="14"/>
      <c r="P21" s="14"/>
      <c r="Q21" s="11" t="n">
        <f aca="false">SUM(O21-P21)</f>
        <v>0</v>
      </c>
    </row>
    <row r="22" customFormat="false" ht="15.75" hidden="true" customHeight="false" outlineLevel="0" collapsed="false">
      <c r="A22" s="14"/>
      <c r="B22" s="14"/>
      <c r="C22" s="14"/>
      <c r="D22" s="14"/>
      <c r="E22" s="11" t="n">
        <f aca="false">SUM(C22-D22)</f>
        <v>0</v>
      </c>
      <c r="G22" s="14"/>
      <c r="H22" s="14"/>
      <c r="I22" s="14"/>
      <c r="J22" s="14"/>
      <c r="K22" s="11" t="n">
        <f aca="false">SUM(I22-J22)</f>
        <v>0</v>
      </c>
      <c r="M22" s="14"/>
      <c r="N22" s="14"/>
      <c r="O22" s="14"/>
      <c r="P22" s="14"/>
      <c r="Q22" s="11" t="n">
        <f aca="false">SUM(O22-P22)</f>
        <v>0</v>
      </c>
    </row>
    <row r="23" customFormat="false" ht="15.75" hidden="true" customHeight="false" outlineLevel="0" collapsed="false">
      <c r="A23" s="14"/>
      <c r="B23" s="14"/>
      <c r="C23" s="14"/>
      <c r="D23" s="14"/>
      <c r="E23" s="11" t="n">
        <f aca="false">SUM(C23-D23)</f>
        <v>0</v>
      </c>
      <c r="G23" s="14"/>
      <c r="H23" s="14"/>
      <c r="I23" s="14"/>
      <c r="J23" s="14"/>
      <c r="K23" s="11" t="n">
        <f aca="false">SUM(I23-J23)</f>
        <v>0</v>
      </c>
      <c r="M23" s="14"/>
      <c r="N23" s="14"/>
      <c r="O23" s="14"/>
      <c r="P23" s="14"/>
      <c r="Q23" s="11" t="n">
        <f aca="false">SUM(O23-P23)</f>
        <v>0</v>
      </c>
    </row>
    <row r="24" customFormat="false" ht="15.75" hidden="true" customHeight="false" outlineLevel="0" collapsed="false">
      <c r="A24" s="14"/>
      <c r="B24" s="14"/>
      <c r="C24" s="14"/>
      <c r="D24" s="14"/>
      <c r="E24" s="11" t="n">
        <f aca="false">SUM(C24-D24)</f>
        <v>0</v>
      </c>
      <c r="G24" s="14"/>
      <c r="H24" s="14"/>
      <c r="I24" s="14"/>
      <c r="J24" s="14"/>
      <c r="K24" s="11" t="n">
        <f aca="false">SUM(I24-J24)</f>
        <v>0</v>
      </c>
      <c r="M24" s="14"/>
      <c r="N24" s="14"/>
      <c r="O24" s="14"/>
      <c r="P24" s="14"/>
      <c r="Q24" s="11" t="n">
        <f aca="false">SUM(O24-P24)</f>
        <v>0</v>
      </c>
    </row>
    <row r="25" customFormat="false" ht="15.75" hidden="true" customHeight="false" outlineLevel="0" collapsed="false">
      <c r="A25" s="14"/>
      <c r="B25" s="14"/>
      <c r="C25" s="14"/>
      <c r="D25" s="14"/>
      <c r="E25" s="11" t="n">
        <f aca="false">SUM(C25-D25)</f>
        <v>0</v>
      </c>
      <c r="G25" s="14"/>
      <c r="H25" s="14"/>
      <c r="I25" s="14"/>
      <c r="J25" s="14"/>
      <c r="K25" s="11" t="n">
        <f aca="false">SUM(I25-J25)</f>
        <v>0</v>
      </c>
      <c r="M25" s="14"/>
      <c r="N25" s="14"/>
      <c r="O25" s="14"/>
      <c r="P25" s="14"/>
      <c r="Q25" s="11" t="n">
        <f aca="false">SUM(O25-P25)</f>
        <v>0</v>
      </c>
    </row>
    <row r="26" customFormat="false" ht="15.75" hidden="true" customHeight="false" outlineLevel="0" collapsed="false">
      <c r="A26" s="14"/>
      <c r="B26" s="14"/>
      <c r="C26" s="14"/>
      <c r="D26" s="14"/>
      <c r="E26" s="11" t="n">
        <f aca="false">SUM(C26-D26)</f>
        <v>0</v>
      </c>
      <c r="G26" s="14"/>
      <c r="H26" s="14"/>
      <c r="I26" s="14"/>
      <c r="J26" s="14"/>
      <c r="K26" s="11" t="n">
        <f aca="false">SUM(I26-J26)</f>
        <v>0</v>
      </c>
      <c r="M26" s="14"/>
      <c r="N26" s="14"/>
      <c r="O26" s="14"/>
      <c r="P26" s="14"/>
      <c r="Q26" s="11" t="n">
        <f aca="false">SUM(O26-P26)</f>
        <v>0</v>
      </c>
    </row>
    <row r="27" customFormat="false" ht="15.75" hidden="true" customHeight="false" outlineLevel="0" collapsed="false">
      <c r="A27" s="14"/>
      <c r="B27" s="14"/>
      <c r="C27" s="14"/>
      <c r="D27" s="14"/>
      <c r="E27" s="11" t="n">
        <f aca="false">SUM(C27-D27)</f>
        <v>0</v>
      </c>
      <c r="G27" s="14"/>
      <c r="H27" s="14"/>
      <c r="I27" s="14"/>
      <c r="J27" s="14"/>
      <c r="K27" s="11" t="n">
        <f aca="false">SUM(I27-J27)</f>
        <v>0</v>
      </c>
      <c r="M27" s="14"/>
      <c r="N27" s="14"/>
      <c r="O27" s="14"/>
      <c r="P27" s="14"/>
      <c r="Q27" s="11" t="n">
        <f aca="false">SUM(O27-P27)</f>
        <v>0</v>
      </c>
    </row>
    <row r="28" customFormat="false" ht="15.75" hidden="true" customHeight="false" outlineLevel="0" collapsed="false">
      <c r="A28" s="14"/>
      <c r="B28" s="14"/>
      <c r="C28" s="14"/>
      <c r="D28" s="14"/>
      <c r="E28" s="11" t="n">
        <f aca="false">SUM(C28-D28)</f>
        <v>0</v>
      </c>
      <c r="G28" s="14"/>
      <c r="H28" s="14"/>
      <c r="I28" s="14"/>
      <c r="J28" s="14"/>
      <c r="K28" s="11" t="n">
        <f aca="false">SUM(I28-J28)</f>
        <v>0</v>
      </c>
      <c r="M28" s="14"/>
      <c r="N28" s="14"/>
      <c r="O28" s="14"/>
      <c r="P28" s="14"/>
      <c r="Q28" s="11" t="n">
        <f aca="false">SUM(O28-P28)</f>
        <v>0</v>
      </c>
    </row>
    <row r="29" customFormat="false" ht="15.75" hidden="true" customHeight="false" outlineLevel="0" collapsed="false">
      <c r="A29" s="14"/>
      <c r="B29" s="14"/>
      <c r="C29" s="14"/>
      <c r="D29" s="14"/>
      <c r="E29" s="11" t="n">
        <f aca="false">SUM(C29-D29)</f>
        <v>0</v>
      </c>
      <c r="G29" s="14"/>
      <c r="H29" s="14"/>
      <c r="I29" s="14"/>
      <c r="J29" s="14"/>
      <c r="K29" s="11" t="n">
        <f aca="false">SUM(I29-J29)</f>
        <v>0</v>
      </c>
      <c r="M29" s="14"/>
      <c r="N29" s="14"/>
      <c r="O29" s="14"/>
      <c r="P29" s="14"/>
      <c r="Q29" s="11" t="n">
        <f aca="false">SUM(O29-P29)</f>
        <v>0</v>
      </c>
    </row>
    <row r="30" customFormat="false" ht="15.75" hidden="true" customHeight="false" outlineLevel="0" collapsed="false">
      <c r="A30" s="14"/>
      <c r="B30" s="14"/>
      <c r="C30" s="14"/>
      <c r="D30" s="14"/>
      <c r="E30" s="11" t="n">
        <f aca="false">SUM(C30-D30)</f>
        <v>0</v>
      </c>
      <c r="G30" s="14"/>
      <c r="H30" s="14"/>
      <c r="I30" s="14"/>
      <c r="J30" s="14"/>
      <c r="K30" s="11" t="n">
        <f aca="false">SUM(I30-J30)</f>
        <v>0</v>
      </c>
      <c r="M30" s="14"/>
      <c r="N30" s="14"/>
      <c r="O30" s="14"/>
      <c r="P30" s="14"/>
      <c r="Q30" s="11" t="n">
        <f aca="false">SUM(O30-P30)</f>
        <v>0</v>
      </c>
    </row>
    <row r="31" customFormat="false" ht="15.75" hidden="true" customHeight="false" outlineLevel="0" collapsed="false">
      <c r="A31" s="14"/>
      <c r="B31" s="14"/>
      <c r="C31" s="14"/>
      <c r="D31" s="14"/>
      <c r="E31" s="11" t="n">
        <f aca="false">SUM(C31-D31)</f>
        <v>0</v>
      </c>
      <c r="G31" s="14"/>
      <c r="H31" s="14"/>
      <c r="I31" s="14"/>
      <c r="J31" s="14"/>
      <c r="K31" s="11" t="n">
        <f aca="false">SUM(I31-J31)</f>
        <v>0</v>
      </c>
      <c r="M31" s="14"/>
      <c r="N31" s="14"/>
      <c r="O31" s="14"/>
      <c r="P31" s="14"/>
      <c r="Q31" s="11" t="n">
        <f aca="false">SUM(O31-P31)</f>
        <v>0</v>
      </c>
    </row>
    <row r="32" customFormat="false" ht="15.75" hidden="true" customHeight="false" outlineLevel="0" collapsed="false">
      <c r="A32" s="14"/>
      <c r="B32" s="14"/>
      <c r="C32" s="14"/>
      <c r="D32" s="14"/>
      <c r="E32" s="11" t="n">
        <f aca="false">SUM(C32-D32)</f>
        <v>0</v>
      </c>
      <c r="G32" s="14"/>
      <c r="H32" s="14"/>
      <c r="I32" s="14"/>
      <c r="J32" s="14"/>
      <c r="K32" s="11" t="n">
        <f aca="false">SUM(I32-J32)</f>
        <v>0</v>
      </c>
      <c r="M32" s="14"/>
      <c r="N32" s="14"/>
      <c r="O32" s="14"/>
      <c r="P32" s="14"/>
      <c r="Q32" s="11" t="n">
        <f aca="false">SUM(O32-P32)</f>
        <v>0</v>
      </c>
    </row>
    <row r="33" customFormat="false" ht="15.75" hidden="true" customHeight="false" outlineLevel="0" collapsed="false">
      <c r="A33" s="14"/>
      <c r="B33" s="14"/>
      <c r="C33" s="14"/>
      <c r="D33" s="14"/>
      <c r="E33" s="11" t="n">
        <f aca="false">SUM(C33-D33)</f>
        <v>0</v>
      </c>
      <c r="G33" s="14"/>
      <c r="H33" s="14"/>
      <c r="I33" s="14"/>
      <c r="J33" s="14"/>
      <c r="K33" s="11" t="n">
        <f aca="false">SUM(I33-J33)</f>
        <v>0</v>
      </c>
      <c r="M33" s="14"/>
      <c r="N33" s="14"/>
      <c r="O33" s="14"/>
      <c r="P33" s="14"/>
      <c r="Q33" s="11" t="n">
        <f aca="false">SUM(O33-P33)</f>
        <v>0</v>
      </c>
    </row>
    <row r="34" customFormat="false" ht="15.75" hidden="true" customHeight="false" outlineLevel="0" collapsed="false">
      <c r="A34" s="14"/>
      <c r="B34" s="14"/>
      <c r="C34" s="14"/>
      <c r="D34" s="14"/>
      <c r="E34" s="11" t="n">
        <f aca="false">SUM(C34-D34)</f>
        <v>0</v>
      </c>
      <c r="G34" s="14"/>
      <c r="H34" s="14"/>
      <c r="I34" s="14"/>
      <c r="J34" s="14"/>
      <c r="K34" s="11" t="n">
        <f aca="false">SUM(I34-J34)</f>
        <v>0</v>
      </c>
      <c r="M34" s="14"/>
      <c r="N34" s="14"/>
      <c r="O34" s="14"/>
      <c r="P34" s="14"/>
      <c r="Q34" s="11" t="n">
        <f aca="false">SUM(O34-P34)</f>
        <v>0</v>
      </c>
    </row>
    <row r="35" customFormat="false" ht="15.75" hidden="true" customHeight="false" outlineLevel="0" collapsed="false">
      <c r="A35" s="14"/>
      <c r="B35" s="14"/>
      <c r="C35" s="14"/>
      <c r="D35" s="14"/>
      <c r="E35" s="11" t="n">
        <f aca="false">SUM(C35-D35)</f>
        <v>0</v>
      </c>
      <c r="G35" s="14"/>
      <c r="H35" s="14"/>
      <c r="I35" s="14"/>
      <c r="J35" s="14"/>
      <c r="K35" s="11" t="n">
        <f aca="false">SUM(I35-J35)</f>
        <v>0</v>
      </c>
      <c r="M35" s="14"/>
      <c r="N35" s="14"/>
      <c r="O35" s="14"/>
      <c r="P35" s="14"/>
      <c r="Q35" s="11" t="n">
        <f aca="false">SUM(O35-P35)</f>
        <v>0</v>
      </c>
    </row>
    <row r="36" customFormat="false" ht="15.75" hidden="true" customHeight="false" outlineLevel="0" collapsed="false">
      <c r="A36" s="14"/>
      <c r="B36" s="14"/>
      <c r="C36" s="14"/>
      <c r="D36" s="14"/>
      <c r="E36" s="11" t="n">
        <f aca="false">SUM(C36-D36)</f>
        <v>0</v>
      </c>
      <c r="G36" s="14"/>
      <c r="H36" s="14"/>
      <c r="I36" s="14"/>
      <c r="J36" s="14"/>
      <c r="K36" s="11" t="n">
        <f aca="false">SUM(I36-J36)</f>
        <v>0</v>
      </c>
      <c r="M36" s="14"/>
      <c r="N36" s="14"/>
      <c r="O36" s="14"/>
      <c r="P36" s="14"/>
      <c r="Q36" s="11" t="n">
        <f aca="false">SUM(O36-P36)</f>
        <v>0</v>
      </c>
    </row>
    <row r="37" customFormat="false" ht="15.75" hidden="true" customHeight="false" outlineLevel="0" collapsed="false">
      <c r="A37" s="14"/>
      <c r="B37" s="14"/>
      <c r="C37" s="14"/>
      <c r="D37" s="14"/>
      <c r="E37" s="11" t="n">
        <f aca="false">SUM(C37-D37)</f>
        <v>0</v>
      </c>
      <c r="G37" s="14"/>
      <c r="H37" s="14"/>
      <c r="I37" s="14"/>
      <c r="J37" s="14"/>
      <c r="K37" s="11" t="n">
        <f aca="false">SUM(I37-J37)</f>
        <v>0</v>
      </c>
      <c r="M37" s="14"/>
      <c r="N37" s="14"/>
      <c r="O37" s="14"/>
      <c r="P37" s="14"/>
      <c r="Q37" s="11" t="n">
        <f aca="false">SUM(O37-P37)</f>
        <v>0</v>
      </c>
    </row>
    <row r="38" customFormat="false" ht="15.75" hidden="true" customHeight="false" outlineLevel="0" collapsed="false">
      <c r="A38" s="14"/>
      <c r="B38" s="14"/>
      <c r="C38" s="14"/>
      <c r="D38" s="14"/>
      <c r="E38" s="11" t="n">
        <f aca="false">SUM(C38-D38)</f>
        <v>0</v>
      </c>
      <c r="G38" s="14"/>
      <c r="H38" s="14"/>
      <c r="I38" s="14"/>
      <c r="J38" s="14"/>
      <c r="K38" s="11" t="n">
        <f aca="false">SUM(I38-J38)</f>
        <v>0</v>
      </c>
      <c r="M38" s="14"/>
      <c r="N38" s="14"/>
      <c r="O38" s="14"/>
      <c r="P38" s="14"/>
      <c r="Q38" s="11" t="n">
        <f aca="false">SUM(O38-P38)</f>
        <v>0</v>
      </c>
    </row>
    <row r="39" customFormat="false" ht="15.75" hidden="true" customHeight="false" outlineLevel="0" collapsed="false">
      <c r="A39" s="14"/>
      <c r="B39" s="14"/>
      <c r="C39" s="14"/>
      <c r="D39" s="14"/>
      <c r="E39" s="11" t="n">
        <f aca="false">SUM(C39-D39)</f>
        <v>0</v>
      </c>
      <c r="G39" s="14"/>
      <c r="H39" s="14"/>
      <c r="I39" s="14"/>
      <c r="J39" s="14"/>
      <c r="K39" s="11" t="n">
        <f aca="false">SUM(I39-J39)</f>
        <v>0</v>
      </c>
      <c r="M39" s="14"/>
      <c r="N39" s="14"/>
      <c r="O39" s="14"/>
      <c r="P39" s="14"/>
      <c r="Q39" s="11" t="n">
        <f aca="false">SUM(O39-P39)</f>
        <v>0</v>
      </c>
    </row>
    <row r="40" customFormat="false" ht="15.75" hidden="true" customHeight="false" outlineLevel="0" collapsed="false">
      <c r="A40" s="14"/>
      <c r="B40" s="14"/>
      <c r="C40" s="14"/>
      <c r="D40" s="14"/>
      <c r="E40" s="11" t="n">
        <f aca="false">SUM(C40-D40)</f>
        <v>0</v>
      </c>
      <c r="G40" s="14"/>
      <c r="H40" s="14"/>
      <c r="I40" s="14"/>
      <c r="J40" s="14"/>
      <c r="K40" s="11" t="n">
        <f aca="false">SUM(I40-J40)</f>
        <v>0</v>
      </c>
      <c r="M40" s="14"/>
      <c r="N40" s="14"/>
      <c r="O40" s="14"/>
      <c r="P40" s="14"/>
      <c r="Q40" s="11" t="n">
        <f aca="false">SUM(O40-P40)</f>
        <v>0</v>
      </c>
    </row>
    <row r="41" customFormat="false" ht="15.75" hidden="true" customHeight="false" outlineLevel="0" collapsed="false">
      <c r="A41" s="14"/>
      <c r="B41" s="14"/>
      <c r="C41" s="14"/>
      <c r="D41" s="14"/>
      <c r="E41" s="11" t="n">
        <f aca="false">SUM(C41-D41)</f>
        <v>0</v>
      </c>
      <c r="G41" s="14"/>
      <c r="H41" s="14"/>
      <c r="I41" s="14"/>
      <c r="J41" s="14"/>
      <c r="K41" s="11" t="n">
        <f aca="false">SUM(I41-J41)</f>
        <v>0</v>
      </c>
      <c r="M41" s="14"/>
      <c r="N41" s="14"/>
      <c r="O41" s="14"/>
      <c r="P41" s="14"/>
      <c r="Q41" s="11" t="n">
        <f aca="false">SUM(O41-P41)</f>
        <v>0</v>
      </c>
    </row>
    <row r="42" customFormat="false" ht="15.75" hidden="true" customHeight="false" outlineLevel="0" collapsed="false">
      <c r="A42" s="14"/>
      <c r="B42" s="14"/>
      <c r="C42" s="14"/>
      <c r="D42" s="14"/>
      <c r="E42" s="11" t="n">
        <f aca="false">SUM(C42-D42)</f>
        <v>0</v>
      </c>
      <c r="G42" s="14"/>
      <c r="H42" s="14"/>
      <c r="I42" s="14"/>
      <c r="J42" s="14"/>
      <c r="K42" s="11" t="n">
        <f aca="false">SUM(I42-J42)</f>
        <v>0</v>
      </c>
      <c r="M42" s="14"/>
      <c r="N42" s="14"/>
      <c r="O42" s="14"/>
      <c r="P42" s="14"/>
      <c r="Q42" s="11" t="n">
        <f aca="false">SUM(O42-P42)</f>
        <v>0</v>
      </c>
    </row>
    <row r="43" customFormat="false" ht="15.75" hidden="true" customHeight="false" outlineLevel="0" collapsed="false">
      <c r="A43" s="14"/>
      <c r="B43" s="14"/>
      <c r="C43" s="14"/>
      <c r="D43" s="14"/>
      <c r="E43" s="11" t="n">
        <f aca="false">SUM(C43-D43)</f>
        <v>0</v>
      </c>
      <c r="G43" s="14"/>
      <c r="H43" s="14"/>
      <c r="I43" s="14"/>
      <c r="J43" s="14"/>
      <c r="K43" s="11" t="n">
        <f aca="false">SUM(I43-J43)</f>
        <v>0</v>
      </c>
      <c r="M43" s="14"/>
      <c r="N43" s="14"/>
      <c r="O43" s="14"/>
      <c r="P43" s="14"/>
      <c r="Q43" s="11" t="n">
        <f aca="false">SUM(O43-P43)</f>
        <v>0</v>
      </c>
    </row>
    <row r="44" customFormat="false" ht="15.75" hidden="true" customHeight="false" outlineLevel="0" collapsed="false">
      <c r="A44" s="14"/>
      <c r="B44" s="14"/>
      <c r="C44" s="14"/>
      <c r="D44" s="14"/>
      <c r="E44" s="11" t="n">
        <f aca="false">SUM(C44-D44)</f>
        <v>0</v>
      </c>
      <c r="G44" s="14"/>
      <c r="H44" s="14"/>
      <c r="I44" s="14"/>
      <c r="J44" s="14"/>
      <c r="K44" s="11" t="n">
        <f aca="false">SUM(I44-J44)</f>
        <v>0</v>
      </c>
      <c r="M44" s="14"/>
      <c r="N44" s="14"/>
      <c r="O44" s="14"/>
      <c r="P44" s="14"/>
      <c r="Q44" s="11" t="n">
        <f aca="false">SUM(O44-P44)</f>
        <v>0</v>
      </c>
    </row>
    <row r="45" customFormat="false" ht="15.75" hidden="true" customHeight="false" outlineLevel="0" collapsed="false">
      <c r="A45" s="14"/>
      <c r="B45" s="14"/>
      <c r="C45" s="14"/>
      <c r="D45" s="14"/>
      <c r="E45" s="11" t="n">
        <f aca="false">SUM(C45-D45)</f>
        <v>0</v>
      </c>
      <c r="G45" s="14"/>
      <c r="H45" s="14"/>
      <c r="I45" s="14"/>
      <c r="J45" s="14"/>
      <c r="K45" s="11" t="n">
        <f aca="false">SUM(I45-J45)</f>
        <v>0</v>
      </c>
      <c r="M45" s="14"/>
      <c r="N45" s="14"/>
      <c r="O45" s="14"/>
      <c r="P45" s="14"/>
      <c r="Q45" s="11" t="n">
        <f aca="false">SUM(O45-P45)</f>
        <v>0</v>
      </c>
    </row>
    <row r="46" customFormat="false" ht="15.75" hidden="true" customHeight="false" outlineLevel="0" collapsed="false">
      <c r="A46" s="14"/>
      <c r="B46" s="14"/>
      <c r="C46" s="14"/>
      <c r="D46" s="14"/>
      <c r="E46" s="11" t="n">
        <f aca="false">SUM(C46-D46)</f>
        <v>0</v>
      </c>
      <c r="G46" s="14"/>
      <c r="H46" s="14"/>
      <c r="I46" s="14"/>
      <c r="J46" s="14"/>
      <c r="K46" s="11" t="n">
        <f aca="false">SUM(I46-J46)</f>
        <v>0</v>
      </c>
      <c r="M46" s="14"/>
      <c r="N46" s="14"/>
      <c r="O46" s="14"/>
      <c r="P46" s="14"/>
      <c r="Q46" s="11" t="n">
        <f aca="false">SUM(O46-P46)</f>
        <v>0</v>
      </c>
    </row>
    <row r="47" customFormat="false" ht="15.75" hidden="true" customHeight="false" outlineLevel="0" collapsed="false">
      <c r="A47" s="14"/>
      <c r="B47" s="14"/>
      <c r="C47" s="14"/>
      <c r="D47" s="14"/>
      <c r="E47" s="11" t="n">
        <f aca="false">SUM(C47-D47)</f>
        <v>0</v>
      </c>
      <c r="G47" s="14"/>
      <c r="H47" s="14"/>
      <c r="I47" s="14"/>
      <c r="J47" s="14"/>
      <c r="K47" s="11" t="n">
        <f aca="false">SUM(I47-J47)</f>
        <v>0</v>
      </c>
      <c r="M47" s="14"/>
      <c r="N47" s="14"/>
      <c r="O47" s="14"/>
      <c r="P47" s="14"/>
      <c r="Q47" s="11" t="n">
        <f aca="false">SUM(O47-P47)</f>
        <v>0</v>
      </c>
    </row>
    <row r="48" customFormat="false" ht="15.75" hidden="true" customHeight="false" outlineLevel="0" collapsed="false">
      <c r="A48" s="14"/>
      <c r="B48" s="14"/>
      <c r="C48" s="14"/>
      <c r="D48" s="14"/>
      <c r="E48" s="11" t="n">
        <f aca="false">SUM(C48-D48)</f>
        <v>0</v>
      </c>
      <c r="G48" s="14"/>
      <c r="H48" s="14"/>
      <c r="I48" s="14"/>
      <c r="J48" s="14"/>
      <c r="K48" s="11" t="n">
        <f aca="false">SUM(I48-J48)</f>
        <v>0</v>
      </c>
      <c r="M48" s="14"/>
      <c r="N48" s="14"/>
      <c r="O48" s="14"/>
      <c r="P48" s="14"/>
      <c r="Q48" s="11" t="n">
        <f aca="false">SUM(O48-P48)</f>
        <v>0</v>
      </c>
    </row>
    <row r="49" customFormat="false" ht="15.75" hidden="true" customHeight="false" outlineLevel="0" collapsed="false">
      <c r="A49" s="14"/>
      <c r="B49" s="14"/>
      <c r="C49" s="14"/>
      <c r="D49" s="14"/>
      <c r="E49" s="11" t="n">
        <f aca="false">SUM(C49-D49)</f>
        <v>0</v>
      </c>
      <c r="G49" s="14"/>
      <c r="H49" s="14"/>
      <c r="I49" s="14"/>
      <c r="J49" s="14"/>
      <c r="K49" s="11" t="n">
        <f aca="false">SUM(I49-J49)</f>
        <v>0</v>
      </c>
      <c r="M49" s="14"/>
      <c r="N49" s="14"/>
      <c r="O49" s="14"/>
      <c r="P49" s="14"/>
      <c r="Q49" s="11" t="n">
        <f aca="false">SUM(O49-P49)</f>
        <v>0</v>
      </c>
    </row>
    <row r="50" customFormat="false" ht="15.75" hidden="true" customHeight="false" outlineLevel="0" collapsed="false">
      <c r="A50" s="14"/>
      <c r="B50" s="14"/>
      <c r="C50" s="14"/>
      <c r="D50" s="14"/>
      <c r="E50" s="11" t="n">
        <f aca="false">SUM(C50-D50)</f>
        <v>0</v>
      </c>
      <c r="G50" s="14"/>
      <c r="H50" s="14"/>
      <c r="I50" s="14"/>
      <c r="J50" s="14"/>
      <c r="K50" s="11" t="n">
        <f aca="false">SUM(I50-J50)</f>
        <v>0</v>
      </c>
      <c r="M50" s="14"/>
      <c r="N50" s="14"/>
      <c r="O50" s="14"/>
      <c r="P50" s="14"/>
      <c r="Q50" s="11" t="n">
        <f aca="false">SUM(O50-P50)</f>
        <v>0</v>
      </c>
    </row>
    <row r="51" customFormat="false" ht="15.75" hidden="true" customHeight="false" outlineLevel="0" collapsed="false">
      <c r="A51" s="14"/>
      <c r="B51" s="14"/>
      <c r="C51" s="14"/>
      <c r="D51" s="14"/>
      <c r="E51" s="11" t="n">
        <f aca="false">SUM(C51-D51)</f>
        <v>0</v>
      </c>
      <c r="G51" s="14"/>
      <c r="H51" s="14"/>
      <c r="I51" s="14"/>
      <c r="J51" s="14"/>
      <c r="K51" s="11" t="n">
        <f aca="false">SUM(I51-J51)</f>
        <v>0</v>
      </c>
      <c r="M51" s="14"/>
      <c r="N51" s="14"/>
      <c r="O51" s="14"/>
      <c r="P51" s="14"/>
      <c r="Q51" s="11" t="n">
        <f aca="false">SUM(O51-P51)</f>
        <v>0</v>
      </c>
    </row>
    <row r="52" customFormat="false" ht="15.75" hidden="true" customHeight="false" outlineLevel="0" collapsed="false">
      <c r="A52" s="14"/>
      <c r="B52" s="14"/>
      <c r="C52" s="14"/>
      <c r="D52" s="14"/>
      <c r="E52" s="11" t="n">
        <f aca="false">SUM(C52-D52)</f>
        <v>0</v>
      </c>
      <c r="G52" s="14"/>
      <c r="H52" s="14"/>
      <c r="I52" s="14"/>
      <c r="J52" s="14"/>
      <c r="K52" s="11" t="n">
        <f aca="false">SUM(I52-J52)</f>
        <v>0</v>
      </c>
      <c r="M52" s="14"/>
      <c r="N52" s="14"/>
      <c r="O52" s="14"/>
      <c r="P52" s="14"/>
      <c r="Q52" s="11" t="n">
        <f aca="false">SUM(O52-P52)</f>
        <v>0</v>
      </c>
    </row>
    <row r="53" customFormat="false" ht="15.75" hidden="true" customHeight="false" outlineLevel="0" collapsed="false"/>
    <row r="54" customFormat="false" ht="15.75" hidden="false" customHeight="false" outlineLevel="0" collapsed="false">
      <c r="C54" s="18" t="s">
        <v>24</v>
      </c>
      <c r="D54" s="18" t="s">
        <v>24</v>
      </c>
      <c r="E54" s="19" t="s">
        <v>24</v>
      </c>
      <c r="I54" s="18" t="s">
        <v>24</v>
      </c>
      <c r="J54" s="18" t="s">
        <v>24</v>
      </c>
      <c r="K54" s="19" t="s">
        <v>24</v>
      </c>
      <c r="O54" s="18" t="s">
        <v>24</v>
      </c>
      <c r="P54" s="18" t="s">
        <v>24</v>
      </c>
      <c r="Q54" s="19" t="s">
        <v>24</v>
      </c>
    </row>
    <row r="55" customFormat="false" ht="15.75" hidden="false" customHeight="false" outlineLevel="0" collapsed="false">
      <c r="C55" s="11" t="n">
        <f aca="false">SUM(C4:C52)</f>
        <v>0</v>
      </c>
      <c r="D55" s="11" t="n">
        <f aca="false">SUM(D4:D52)</f>
        <v>311</v>
      </c>
      <c r="E55" s="11" t="n">
        <f aca="false">SUM(E4:E52)</f>
        <v>-311</v>
      </c>
      <c r="I55" s="11" t="n">
        <f aca="false">SUM(I4:I52)</f>
        <v>455</v>
      </c>
      <c r="J55" s="11" t="n">
        <f aca="false">SUM(J4:J52)</f>
        <v>1093</v>
      </c>
      <c r="K55" s="11" t="n">
        <f aca="false">SUM(K4:K52)</f>
        <v>-638</v>
      </c>
      <c r="O55" s="11" t="n">
        <f aca="false">SUM(O4:O52)</f>
        <v>55</v>
      </c>
      <c r="P55" s="11" t="n">
        <f aca="false">SUM(P4:P52)</f>
        <v>45</v>
      </c>
      <c r="Q55" s="11" t="n">
        <f aca="false">SUM(Q4:Q52)</f>
        <v>10</v>
      </c>
    </row>
    <row r="61" customFormat="false" ht="15" hidden="false" customHeight="false" outlineLevel="0" collapsed="false">
      <c r="A61" s="20"/>
      <c r="C61" s="21"/>
      <c r="D61" s="21"/>
      <c r="G61" s="20"/>
      <c r="I61" s="21"/>
      <c r="J61" s="21"/>
      <c r="M61" s="20"/>
      <c r="O61" s="21"/>
      <c r="P61" s="21"/>
    </row>
    <row r="62" customFormat="false" ht="15" hidden="false" customHeight="false" outlineLevel="0" collapsed="false">
      <c r="A62" s="20"/>
      <c r="C62" s="22"/>
      <c r="G62" s="20"/>
      <c r="I62" s="22"/>
      <c r="M62" s="20"/>
      <c r="O62" s="22"/>
    </row>
  </sheetData>
  <mergeCells count="3">
    <mergeCell ref="A1:E2"/>
    <mergeCell ref="G1:K2"/>
    <mergeCell ref="M1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133"/>
  <sheetViews>
    <sheetView showFormulas="false" showGridLines="true" showRowColHeaders="true" showZeros="true" rightToLeft="false" tabSelected="false" showOutlineSymbols="true" defaultGridColor="true" view="normal" topLeftCell="A84" colorId="64" zoomScale="65" zoomScaleNormal="65" zoomScalePageLayoutView="100" workbookViewId="0">
      <selection pane="topLeft" activeCell="A60" activeCellId="0" sqref="A6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30"/>
    <col collapsed="false" customWidth="true" hidden="false" outlineLevel="0" max="10" min="10" style="0" width="33.71"/>
    <col collapsed="false" customWidth="true" hidden="false" outlineLevel="0" max="11" min="11" style="0" width="40.85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21" width="13.71"/>
    <col collapsed="false" customWidth="true" hidden="false" outlineLevel="0" max="17" min="17" style="21" width="14.57"/>
    <col collapsed="false" customWidth="true" hidden="false" outlineLevel="0" max="18" min="18" style="21" width="9.14"/>
    <col collapsed="false" customWidth="true" hidden="false" outlineLevel="0" max="19" min="19" style="0" width="16.57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19</v>
      </c>
      <c r="N1" s="1"/>
      <c r="O1" s="1"/>
      <c r="P1" s="1"/>
      <c r="Q1" s="1"/>
    </row>
    <row r="2" customFormat="false" ht="15.75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  <c r="K2" s="1"/>
      <c r="M2" s="1"/>
      <c r="N2" s="1"/>
      <c r="O2" s="1"/>
      <c r="P2" s="1"/>
      <c r="Q2" s="1"/>
    </row>
    <row r="3" customFormat="false" ht="15.75" hidden="false" customHeight="false" outlineLevel="0" collapsed="false">
      <c r="A3" s="2" t="s">
        <v>3</v>
      </c>
      <c r="B3" s="3" t="s">
        <v>4</v>
      </c>
      <c r="C3" s="4" t="s">
        <v>5</v>
      </c>
      <c r="D3" s="4" t="s">
        <v>6</v>
      </c>
      <c r="E3" s="5" t="s">
        <v>7</v>
      </c>
      <c r="G3" s="6" t="s">
        <v>3</v>
      </c>
      <c r="H3" s="7" t="s">
        <v>4</v>
      </c>
      <c r="I3" s="8" t="s">
        <v>5</v>
      </c>
      <c r="J3" s="8" t="s">
        <v>6</v>
      </c>
      <c r="K3" s="9" t="s">
        <v>7</v>
      </c>
      <c r="M3" s="2" t="s">
        <v>3</v>
      </c>
      <c r="N3" s="3" t="s">
        <v>4</v>
      </c>
      <c r="O3" s="4" t="s">
        <v>5</v>
      </c>
      <c r="P3" s="4" t="s">
        <v>6</v>
      </c>
      <c r="Q3" s="5" t="s">
        <v>7</v>
      </c>
    </row>
    <row r="4" customFormat="false" ht="15.75" hidden="false" customHeight="false" outlineLevel="0" collapsed="false">
      <c r="A4" s="10" t="n">
        <v>45810</v>
      </c>
      <c r="B4" s="11" t="s">
        <v>79</v>
      </c>
      <c r="C4" s="11"/>
      <c r="D4" s="11" t="n">
        <v>8</v>
      </c>
      <c r="E4" s="11" t="n">
        <f aca="false">SUM(C4-D4)</f>
        <v>-8</v>
      </c>
      <c r="G4" s="12" t="n">
        <v>45814</v>
      </c>
      <c r="H4" s="13" t="s">
        <v>84</v>
      </c>
      <c r="I4" s="13"/>
      <c r="J4" s="13" t="n">
        <v>20</v>
      </c>
      <c r="K4" s="13" t="n">
        <f aca="false">SUM(I4-J4)</f>
        <v>-20</v>
      </c>
      <c r="M4" s="10" t="n">
        <v>45828</v>
      </c>
      <c r="N4" s="11" t="s">
        <v>85</v>
      </c>
      <c r="O4" s="11"/>
      <c r="P4" s="11" t="n">
        <v>40</v>
      </c>
      <c r="Q4" s="11" t="n">
        <f aca="false">SUM(O4-P4)</f>
        <v>-40</v>
      </c>
    </row>
    <row r="5" customFormat="false" ht="15.75" hidden="false" customHeight="false" outlineLevel="0" collapsed="false">
      <c r="A5" s="10" t="n">
        <v>45811</v>
      </c>
      <c r="B5" s="14" t="s">
        <v>86</v>
      </c>
      <c r="C5" s="14"/>
      <c r="D5" s="14" t="n">
        <v>2.6</v>
      </c>
      <c r="E5" s="11" t="n">
        <f aca="false">SUM(C5-D5)</f>
        <v>-2.6</v>
      </c>
      <c r="G5" s="12" t="n">
        <v>45815</v>
      </c>
      <c r="H5" s="15" t="s">
        <v>87</v>
      </c>
      <c r="I5" s="15"/>
      <c r="J5" s="15" t="n">
        <v>1.4</v>
      </c>
      <c r="K5" s="13" t="n">
        <f aca="false">SUM(I5-J5)</f>
        <v>-1.4</v>
      </c>
      <c r="M5" s="10" t="n">
        <v>45830</v>
      </c>
      <c r="N5" s="14" t="s">
        <v>88</v>
      </c>
      <c r="O5" s="14" t="n">
        <v>25</v>
      </c>
      <c r="P5" s="14"/>
      <c r="Q5" s="11" t="n">
        <f aca="false">SUM(O5-P5)</f>
        <v>25</v>
      </c>
    </row>
    <row r="6" customFormat="false" ht="15.75" hidden="false" customHeight="false" outlineLevel="0" collapsed="false">
      <c r="A6" s="10" t="n">
        <v>45813</v>
      </c>
      <c r="B6" s="14" t="s">
        <v>89</v>
      </c>
      <c r="C6" s="14"/>
      <c r="D6" s="14" t="n">
        <v>25</v>
      </c>
      <c r="E6" s="11" t="n">
        <f aca="false">SUM(C6-D6)</f>
        <v>-25</v>
      </c>
      <c r="G6" s="12" t="n">
        <v>45816</v>
      </c>
      <c r="H6" s="15" t="s">
        <v>90</v>
      </c>
      <c r="I6" s="15"/>
      <c r="J6" s="15" t="n">
        <v>6.8</v>
      </c>
      <c r="K6" s="13" t="n">
        <f aca="false">SUM(I6-J6)</f>
        <v>-6.8</v>
      </c>
      <c r="M6" s="10" t="n">
        <v>45835</v>
      </c>
      <c r="N6" s="14" t="s">
        <v>40</v>
      </c>
      <c r="O6" s="14" t="n">
        <v>10</v>
      </c>
      <c r="P6" s="14"/>
      <c r="Q6" s="11" t="n">
        <f aca="false">SUM(O6-P6)</f>
        <v>10</v>
      </c>
    </row>
    <row r="7" customFormat="false" ht="15.75" hidden="false" customHeight="false" outlineLevel="0" collapsed="false">
      <c r="A7" s="16" t="n">
        <v>45835</v>
      </c>
      <c r="B7" s="14" t="s">
        <v>28</v>
      </c>
      <c r="C7" s="14"/>
      <c r="D7" s="14" t="n">
        <v>10</v>
      </c>
      <c r="E7" s="11" t="n">
        <f aca="false">SUM(C7-D7)</f>
        <v>-10</v>
      </c>
      <c r="G7" s="12" t="n">
        <v>45816</v>
      </c>
      <c r="H7" s="15" t="s">
        <v>87</v>
      </c>
      <c r="I7" s="15"/>
      <c r="J7" s="15" t="n">
        <v>9.75</v>
      </c>
      <c r="K7" s="13" t="n">
        <f aca="false">SUM(I7-J7)</f>
        <v>-9.75</v>
      </c>
      <c r="M7" s="10"/>
      <c r="N7" s="14"/>
      <c r="O7" s="14"/>
      <c r="P7" s="14"/>
      <c r="Q7" s="11" t="n">
        <f aca="false">SUM(O7-P7)</f>
        <v>0</v>
      </c>
    </row>
    <row r="8" customFormat="false" ht="15.75" hidden="false" customHeight="false" outlineLevel="0" collapsed="false">
      <c r="A8" s="16" t="n">
        <v>45838</v>
      </c>
      <c r="B8" s="14" t="s">
        <v>91</v>
      </c>
      <c r="C8" s="14"/>
      <c r="D8" s="14" t="n">
        <v>100</v>
      </c>
      <c r="E8" s="11" t="n">
        <f aca="false">SUM(C8-D8)</f>
        <v>-100</v>
      </c>
      <c r="G8" s="17" t="n">
        <v>45820</v>
      </c>
      <c r="H8" s="15" t="s">
        <v>92</v>
      </c>
      <c r="I8" s="15"/>
      <c r="J8" s="15" t="n">
        <v>0.91</v>
      </c>
      <c r="K8" s="13" t="n">
        <f aca="false">SUM(I8-J8)</f>
        <v>-0.91</v>
      </c>
      <c r="M8" s="10"/>
      <c r="N8" s="14"/>
      <c r="O8" s="14"/>
      <c r="P8" s="14"/>
      <c r="Q8" s="11" t="n">
        <f aca="false">SUM(O8-P8)</f>
        <v>0</v>
      </c>
    </row>
    <row r="9" customFormat="false" ht="15.75" hidden="false" customHeight="false" outlineLevel="0" collapsed="false">
      <c r="A9" s="16"/>
      <c r="B9" s="14"/>
      <c r="C9" s="14"/>
      <c r="D9" s="14"/>
      <c r="E9" s="11" t="n">
        <f aca="false">SUM(C9-D9)</f>
        <v>0</v>
      </c>
      <c r="G9" s="17" t="n">
        <v>45820</v>
      </c>
      <c r="H9" s="15" t="s">
        <v>84</v>
      </c>
      <c r="I9" s="15"/>
      <c r="J9" s="15" t="n">
        <v>20</v>
      </c>
      <c r="K9" s="13" t="n">
        <f aca="false">SUM(I9-J9)</f>
        <v>-20</v>
      </c>
      <c r="M9" s="16"/>
      <c r="N9" s="14"/>
      <c r="O9" s="14"/>
      <c r="P9" s="14"/>
      <c r="Q9" s="11" t="n">
        <f aca="false">SUM(O9-P9)</f>
        <v>0</v>
      </c>
    </row>
    <row r="10" customFormat="false" ht="15.75" hidden="false" customHeight="false" outlineLevel="0" collapsed="false">
      <c r="A10" s="16"/>
      <c r="B10" s="14"/>
      <c r="C10" s="14"/>
      <c r="D10" s="14"/>
      <c r="E10" s="11" t="n">
        <f aca="false">SUM(C10-D10)</f>
        <v>0</v>
      </c>
      <c r="G10" s="17" t="n">
        <v>45823</v>
      </c>
      <c r="H10" s="15" t="s">
        <v>93</v>
      </c>
      <c r="I10" s="15"/>
      <c r="J10" s="15" t="n">
        <v>68</v>
      </c>
      <c r="K10" s="13" t="n">
        <f aca="false">SUM(I10-J10)</f>
        <v>-68</v>
      </c>
      <c r="M10" s="16"/>
      <c r="N10" s="14"/>
      <c r="O10" s="14"/>
      <c r="P10" s="14"/>
      <c r="Q10" s="11" t="n">
        <f aca="false">SUM(O10-P10)</f>
        <v>0</v>
      </c>
    </row>
    <row r="11" customFormat="false" ht="15.75" hidden="false" customHeight="false" outlineLevel="0" collapsed="false">
      <c r="A11" s="14"/>
      <c r="B11" s="14"/>
      <c r="C11" s="14"/>
      <c r="D11" s="14"/>
      <c r="E11" s="11" t="n">
        <f aca="false">SUM(C11-D11)</f>
        <v>0</v>
      </c>
      <c r="G11" s="17" t="n">
        <v>45823</v>
      </c>
      <c r="H11" s="15" t="s">
        <v>84</v>
      </c>
      <c r="I11" s="15"/>
      <c r="J11" s="15" t="n">
        <v>20</v>
      </c>
      <c r="K11" s="13" t="n">
        <f aca="false">SUM(I11-J11)</f>
        <v>-20</v>
      </c>
      <c r="M11" s="16"/>
      <c r="N11" s="14"/>
      <c r="O11" s="14"/>
      <c r="P11" s="14"/>
      <c r="Q11" s="11" t="n">
        <f aca="false">SUM(O11-P11)</f>
        <v>0</v>
      </c>
    </row>
    <row r="12" customFormat="false" ht="15.75" hidden="false" customHeight="false" outlineLevel="0" collapsed="false">
      <c r="A12" s="14"/>
      <c r="B12" s="14"/>
      <c r="C12" s="14"/>
      <c r="D12" s="14"/>
      <c r="E12" s="11" t="n">
        <f aca="false">SUM(C12-D12)</f>
        <v>0</v>
      </c>
      <c r="G12" s="17" t="n">
        <v>45798</v>
      </c>
      <c r="H12" s="15" t="s">
        <v>84</v>
      </c>
      <c r="I12" s="15"/>
      <c r="J12" s="15" t="n">
        <v>20</v>
      </c>
      <c r="K12" s="13" t="n">
        <f aca="false">SUM(I12-J12)</f>
        <v>-20</v>
      </c>
      <c r="M12" s="16"/>
      <c r="N12" s="14"/>
      <c r="O12" s="14"/>
      <c r="P12" s="14"/>
      <c r="Q12" s="11" t="n">
        <f aca="false">SUM(O12-P12)</f>
        <v>0</v>
      </c>
    </row>
    <row r="13" customFormat="false" ht="15.75" hidden="false" customHeight="false" outlineLevel="0" collapsed="false">
      <c r="A13" s="14"/>
      <c r="B13" s="14"/>
      <c r="C13" s="14"/>
      <c r="D13" s="14"/>
      <c r="E13" s="11" t="n">
        <f aca="false">SUM(C13-D13)</f>
        <v>0</v>
      </c>
      <c r="G13" s="17" t="n">
        <v>45834</v>
      </c>
      <c r="H13" s="15" t="s">
        <v>83</v>
      </c>
      <c r="I13" s="15"/>
      <c r="J13" s="15" t="n">
        <v>2</v>
      </c>
      <c r="K13" s="13" t="n">
        <f aca="false">SUM(I13-J13)</f>
        <v>-2</v>
      </c>
      <c r="M13" s="16"/>
      <c r="N13" s="14"/>
      <c r="O13" s="14"/>
      <c r="P13" s="14"/>
      <c r="Q13" s="11" t="n">
        <f aca="false">SUM(O13-P13)</f>
        <v>0</v>
      </c>
    </row>
    <row r="14" customFormat="false" ht="15.75" hidden="false" customHeight="false" outlineLevel="0" collapsed="false">
      <c r="A14" s="14"/>
      <c r="B14" s="14"/>
      <c r="C14" s="14"/>
      <c r="D14" s="14"/>
      <c r="E14" s="11" t="n">
        <f aca="false">SUM(C14-D14)</f>
        <v>0</v>
      </c>
      <c r="G14" s="17" t="n">
        <v>45834</v>
      </c>
      <c r="H14" s="15" t="s">
        <v>94</v>
      </c>
      <c r="I14" s="15"/>
      <c r="J14" s="15" t="n">
        <v>5.83</v>
      </c>
      <c r="K14" s="13" t="n">
        <f aca="false">SUM(I14-J14)</f>
        <v>-5.83</v>
      </c>
      <c r="M14" s="16"/>
      <c r="N14" s="14"/>
      <c r="O14" s="14"/>
      <c r="P14" s="14"/>
      <c r="Q14" s="11" t="n">
        <f aca="false">SUM(O14-P14)</f>
        <v>0</v>
      </c>
    </row>
    <row r="15" customFormat="false" ht="15.75" hidden="false" customHeight="false" outlineLevel="0" collapsed="false">
      <c r="A15" s="14"/>
      <c r="B15" s="14"/>
      <c r="C15" s="14"/>
      <c r="D15" s="14"/>
      <c r="E15" s="11" t="n">
        <f aca="false">SUM(C15-D15)</f>
        <v>0</v>
      </c>
      <c r="G15" s="17" t="n">
        <v>45834</v>
      </c>
      <c r="H15" s="15" t="s">
        <v>95</v>
      </c>
      <c r="I15" s="15"/>
      <c r="J15" s="15" t="n">
        <v>2.16</v>
      </c>
      <c r="K15" s="13" t="n">
        <f aca="false">SUM(I15-J15)</f>
        <v>-2.16</v>
      </c>
      <c r="M15" s="16"/>
      <c r="N15" s="14"/>
      <c r="O15" s="14"/>
      <c r="P15" s="14"/>
      <c r="Q15" s="11" t="n">
        <f aca="false">SUM(O15-P15)</f>
        <v>0</v>
      </c>
    </row>
    <row r="16" customFormat="false" ht="15.75" hidden="false" customHeight="false" outlineLevel="0" collapsed="false">
      <c r="A16" s="14"/>
      <c r="B16" s="14"/>
      <c r="C16" s="14"/>
      <c r="D16" s="14"/>
      <c r="E16" s="11" t="n">
        <f aca="false">SUM(C16-D16)</f>
        <v>0</v>
      </c>
      <c r="G16" s="17" t="n">
        <v>45834</v>
      </c>
      <c r="H16" s="15" t="s">
        <v>96</v>
      </c>
      <c r="I16" s="15"/>
      <c r="J16" s="15" t="n">
        <v>2.82</v>
      </c>
      <c r="K16" s="13" t="n">
        <f aca="false">SUM(I16-J16)</f>
        <v>-2.82</v>
      </c>
      <c r="M16" s="16"/>
      <c r="N16" s="14"/>
      <c r="O16" s="14"/>
      <c r="P16" s="14"/>
      <c r="Q16" s="11" t="n">
        <f aca="false">SUM(O16-P16)</f>
        <v>0</v>
      </c>
    </row>
    <row r="17" customFormat="false" ht="15.75" hidden="false" customHeight="false" outlineLevel="0" collapsed="false">
      <c r="A17" s="14"/>
      <c r="B17" s="14"/>
      <c r="C17" s="14"/>
      <c r="D17" s="14"/>
      <c r="E17" s="11" t="n">
        <f aca="false">SUM(C17-D17)</f>
        <v>0</v>
      </c>
      <c r="G17" s="17" t="n">
        <v>45835</v>
      </c>
      <c r="H17" s="15" t="s">
        <v>17</v>
      </c>
      <c r="I17" s="15"/>
      <c r="J17" s="15" t="n">
        <v>14</v>
      </c>
      <c r="K17" s="13" t="n">
        <f aca="false">SUM(I17-J17)</f>
        <v>-14</v>
      </c>
      <c r="M17" s="16"/>
      <c r="N17" s="14"/>
      <c r="O17" s="14"/>
      <c r="P17" s="14"/>
      <c r="Q17" s="11" t="n">
        <f aca="false">SUM(O17-P17)</f>
        <v>0</v>
      </c>
    </row>
    <row r="18" customFormat="false" ht="15.75" hidden="false" customHeight="false" outlineLevel="0" collapsed="false">
      <c r="A18" s="14"/>
      <c r="B18" s="14"/>
      <c r="C18" s="14"/>
      <c r="D18" s="14"/>
      <c r="E18" s="11" t="n">
        <f aca="false">SUM(C18-D18)</f>
        <v>0</v>
      </c>
      <c r="G18" s="17" t="n">
        <v>45836</v>
      </c>
      <c r="H18" s="15" t="s">
        <v>42</v>
      </c>
      <c r="I18" s="15"/>
      <c r="J18" s="15" t="n">
        <v>2</v>
      </c>
      <c r="K18" s="13" t="n">
        <f aca="false">SUM(I18-J18)</f>
        <v>-2</v>
      </c>
      <c r="M18" s="16"/>
      <c r="N18" s="14"/>
      <c r="O18" s="14"/>
      <c r="P18" s="14"/>
      <c r="Q18" s="11" t="n">
        <f aca="false">SUM(O18-P18)</f>
        <v>0</v>
      </c>
    </row>
    <row r="19" customFormat="false" ht="15.75" hidden="false" customHeight="false" outlineLevel="0" collapsed="false">
      <c r="A19" s="14"/>
      <c r="B19" s="14"/>
      <c r="C19" s="14"/>
      <c r="D19" s="14"/>
      <c r="E19" s="11" t="n">
        <f aca="false">SUM(C19-D19)</f>
        <v>0</v>
      </c>
      <c r="G19" s="17" t="n">
        <v>45837</v>
      </c>
      <c r="H19" s="15" t="s">
        <v>97</v>
      </c>
      <c r="I19" s="15"/>
      <c r="J19" s="15" t="n">
        <v>30</v>
      </c>
      <c r="K19" s="13" t="n">
        <f aca="false">SUM(I19-J19)</f>
        <v>-30</v>
      </c>
      <c r="M19" s="14"/>
      <c r="N19" s="14"/>
      <c r="O19" s="14"/>
      <c r="P19" s="14"/>
      <c r="Q19" s="11" t="n">
        <f aca="false">SUM(O19-P19)</f>
        <v>0</v>
      </c>
    </row>
    <row r="20" customFormat="false" ht="15.75" hidden="true" customHeight="false" outlineLevel="0" collapsed="false">
      <c r="A20" s="14"/>
      <c r="B20" s="14"/>
      <c r="C20" s="14"/>
      <c r="D20" s="14"/>
      <c r="E20" s="11" t="n">
        <f aca="false">SUM(C20-D20)</f>
        <v>0</v>
      </c>
      <c r="G20" s="17"/>
      <c r="H20" s="15"/>
      <c r="I20" s="15"/>
      <c r="J20" s="15"/>
      <c r="K20" s="13" t="n">
        <f aca="false">SUM(I20-J20)</f>
        <v>0</v>
      </c>
      <c r="M20" s="14"/>
      <c r="N20" s="14"/>
      <c r="O20" s="14"/>
      <c r="P20" s="14"/>
      <c r="Q20" s="11" t="n">
        <f aca="false">SUM(O20-P20)</f>
        <v>0</v>
      </c>
    </row>
    <row r="21" customFormat="false" ht="15.75" hidden="true" customHeight="false" outlineLevel="0" collapsed="false">
      <c r="A21" s="14"/>
      <c r="B21" s="14"/>
      <c r="C21" s="14"/>
      <c r="D21" s="14"/>
      <c r="E21" s="11" t="n">
        <f aca="false">SUM(C21-D21)</f>
        <v>0</v>
      </c>
      <c r="G21" s="17"/>
      <c r="H21" s="15"/>
      <c r="I21" s="15"/>
      <c r="J21" s="15"/>
      <c r="K21" s="13" t="n">
        <f aca="false">SUM(I21-J21)</f>
        <v>0</v>
      </c>
      <c r="M21" s="14"/>
      <c r="N21" s="14"/>
      <c r="O21" s="14"/>
      <c r="P21" s="14"/>
      <c r="Q21" s="11" t="n">
        <f aca="false">SUM(O21-P21)</f>
        <v>0</v>
      </c>
    </row>
    <row r="22" customFormat="false" ht="15.75" hidden="true" customHeight="false" outlineLevel="0" collapsed="false">
      <c r="A22" s="14"/>
      <c r="B22" s="14"/>
      <c r="C22" s="14"/>
      <c r="D22" s="14"/>
      <c r="E22" s="11" t="n">
        <f aca="false">SUM(C22-D22)</f>
        <v>0</v>
      </c>
      <c r="G22" s="14"/>
      <c r="H22" s="14"/>
      <c r="I22" s="14"/>
      <c r="J22" s="14"/>
      <c r="K22" s="11" t="n">
        <f aca="false">SUM(I22-J22)</f>
        <v>0</v>
      </c>
      <c r="M22" s="14"/>
      <c r="N22" s="14"/>
      <c r="O22" s="14"/>
      <c r="P22" s="14"/>
      <c r="Q22" s="11" t="n">
        <f aca="false">SUM(O22-P22)</f>
        <v>0</v>
      </c>
    </row>
    <row r="23" customFormat="false" ht="15.75" hidden="true" customHeight="false" outlineLevel="0" collapsed="false">
      <c r="A23" s="14"/>
      <c r="B23" s="14"/>
      <c r="C23" s="14"/>
      <c r="D23" s="14"/>
      <c r="E23" s="11" t="n">
        <f aca="false">SUM(C23-D23)</f>
        <v>0</v>
      </c>
      <c r="G23" s="14"/>
      <c r="H23" s="14"/>
      <c r="I23" s="14"/>
      <c r="J23" s="14"/>
      <c r="K23" s="11" t="n">
        <f aca="false">SUM(I23-J23)</f>
        <v>0</v>
      </c>
      <c r="M23" s="14"/>
      <c r="N23" s="14"/>
      <c r="O23" s="14"/>
      <c r="P23" s="14"/>
      <c r="Q23" s="11" t="n">
        <f aca="false">SUM(O23-P23)</f>
        <v>0</v>
      </c>
    </row>
    <row r="24" customFormat="false" ht="15.75" hidden="true" customHeight="false" outlineLevel="0" collapsed="false">
      <c r="A24" s="14"/>
      <c r="B24" s="14"/>
      <c r="C24" s="14"/>
      <c r="D24" s="14"/>
      <c r="E24" s="11" t="n">
        <f aca="false">SUM(C24-D24)</f>
        <v>0</v>
      </c>
      <c r="G24" s="14"/>
      <c r="H24" s="14"/>
      <c r="I24" s="14"/>
      <c r="J24" s="14"/>
      <c r="K24" s="11" t="n">
        <f aca="false">SUM(I24-J24)</f>
        <v>0</v>
      </c>
      <c r="M24" s="14"/>
      <c r="N24" s="14"/>
      <c r="O24" s="14"/>
      <c r="P24" s="14"/>
      <c r="Q24" s="11" t="n">
        <f aca="false">SUM(O24-P24)</f>
        <v>0</v>
      </c>
    </row>
    <row r="25" customFormat="false" ht="15.75" hidden="true" customHeight="false" outlineLevel="0" collapsed="false">
      <c r="A25" s="14"/>
      <c r="B25" s="14"/>
      <c r="C25" s="14"/>
      <c r="D25" s="14"/>
      <c r="E25" s="11" t="n">
        <f aca="false">SUM(C25-D25)</f>
        <v>0</v>
      </c>
      <c r="G25" s="14"/>
      <c r="H25" s="14"/>
      <c r="I25" s="14"/>
      <c r="J25" s="14"/>
      <c r="K25" s="11" t="n">
        <f aca="false">SUM(I25-J25)</f>
        <v>0</v>
      </c>
      <c r="M25" s="14"/>
      <c r="N25" s="14"/>
      <c r="O25" s="14"/>
      <c r="P25" s="14"/>
      <c r="Q25" s="11" t="n">
        <f aca="false">SUM(O25-P25)</f>
        <v>0</v>
      </c>
    </row>
    <row r="26" customFormat="false" ht="15.75" hidden="true" customHeight="false" outlineLevel="0" collapsed="false">
      <c r="A26" s="14"/>
      <c r="B26" s="14"/>
      <c r="C26" s="14"/>
      <c r="D26" s="14"/>
      <c r="E26" s="11" t="n">
        <f aca="false">SUM(C26-D26)</f>
        <v>0</v>
      </c>
      <c r="G26" s="14"/>
      <c r="H26" s="14"/>
      <c r="I26" s="14"/>
      <c r="J26" s="14"/>
      <c r="K26" s="11" t="n">
        <f aca="false">SUM(I26-J26)</f>
        <v>0</v>
      </c>
      <c r="M26" s="14"/>
      <c r="N26" s="14"/>
      <c r="O26" s="14"/>
      <c r="P26" s="14"/>
      <c r="Q26" s="11" t="n">
        <f aca="false">SUM(O26-P26)</f>
        <v>0</v>
      </c>
    </row>
    <row r="27" customFormat="false" ht="15.75" hidden="true" customHeight="false" outlineLevel="0" collapsed="false">
      <c r="A27" s="14"/>
      <c r="B27" s="14"/>
      <c r="C27" s="14"/>
      <c r="D27" s="14"/>
      <c r="E27" s="11" t="n">
        <f aca="false">SUM(C27-D27)</f>
        <v>0</v>
      </c>
      <c r="G27" s="14"/>
      <c r="H27" s="14"/>
      <c r="I27" s="14"/>
      <c r="J27" s="14"/>
      <c r="K27" s="11" t="n">
        <f aca="false">SUM(I27-J27)</f>
        <v>0</v>
      </c>
      <c r="M27" s="14"/>
      <c r="N27" s="14"/>
      <c r="O27" s="14"/>
      <c r="P27" s="14"/>
      <c r="Q27" s="11" t="n">
        <f aca="false">SUM(O27-P27)</f>
        <v>0</v>
      </c>
    </row>
    <row r="28" customFormat="false" ht="15.75" hidden="true" customHeight="false" outlineLevel="0" collapsed="false">
      <c r="A28" s="14"/>
      <c r="B28" s="14"/>
      <c r="C28" s="14"/>
      <c r="D28" s="14"/>
      <c r="E28" s="11" t="n">
        <f aca="false">SUM(C28-D28)</f>
        <v>0</v>
      </c>
      <c r="G28" s="14"/>
      <c r="H28" s="14"/>
      <c r="I28" s="14"/>
      <c r="J28" s="14"/>
      <c r="K28" s="11" t="n">
        <f aca="false">SUM(I28-J28)</f>
        <v>0</v>
      </c>
      <c r="M28" s="14"/>
      <c r="N28" s="14"/>
      <c r="O28" s="14"/>
      <c r="P28" s="14"/>
      <c r="Q28" s="11" t="n">
        <f aca="false">SUM(O28-P28)</f>
        <v>0</v>
      </c>
    </row>
    <row r="29" customFormat="false" ht="15.75" hidden="true" customHeight="false" outlineLevel="0" collapsed="false">
      <c r="A29" s="14"/>
      <c r="B29" s="14"/>
      <c r="C29" s="14"/>
      <c r="D29" s="14"/>
      <c r="E29" s="11" t="n">
        <f aca="false">SUM(C29-D29)</f>
        <v>0</v>
      </c>
      <c r="G29" s="14"/>
      <c r="H29" s="14"/>
      <c r="I29" s="14"/>
      <c r="J29" s="14"/>
      <c r="K29" s="11" t="n">
        <f aca="false">SUM(I29-J29)</f>
        <v>0</v>
      </c>
      <c r="M29" s="14"/>
      <c r="N29" s="14"/>
      <c r="O29" s="14"/>
      <c r="P29" s="14"/>
      <c r="Q29" s="11" t="n">
        <f aca="false">SUM(O29-P29)</f>
        <v>0</v>
      </c>
    </row>
    <row r="30" customFormat="false" ht="15.75" hidden="true" customHeight="false" outlineLevel="0" collapsed="false">
      <c r="A30" s="14"/>
      <c r="B30" s="14"/>
      <c r="C30" s="14"/>
      <c r="D30" s="14"/>
      <c r="E30" s="11" t="n">
        <f aca="false">SUM(C30-D30)</f>
        <v>0</v>
      </c>
      <c r="G30" s="14"/>
      <c r="H30" s="14"/>
      <c r="I30" s="14"/>
      <c r="J30" s="14"/>
      <c r="K30" s="11" t="n">
        <f aca="false">SUM(I30-J30)</f>
        <v>0</v>
      </c>
      <c r="M30" s="14"/>
      <c r="N30" s="14"/>
      <c r="O30" s="14"/>
      <c r="P30" s="14"/>
      <c r="Q30" s="11" t="n">
        <f aca="false">SUM(O30-P30)</f>
        <v>0</v>
      </c>
    </row>
    <row r="31" customFormat="false" ht="15.75" hidden="true" customHeight="false" outlineLevel="0" collapsed="false">
      <c r="A31" s="14"/>
      <c r="B31" s="14"/>
      <c r="C31" s="14"/>
      <c r="D31" s="14"/>
      <c r="E31" s="11" t="n">
        <f aca="false">SUM(C31-D31)</f>
        <v>0</v>
      </c>
      <c r="G31" s="14"/>
      <c r="H31" s="14"/>
      <c r="I31" s="14"/>
      <c r="J31" s="14"/>
      <c r="K31" s="11" t="n">
        <f aca="false">SUM(I31-J31)</f>
        <v>0</v>
      </c>
      <c r="M31" s="14"/>
      <c r="N31" s="14"/>
      <c r="O31" s="14"/>
      <c r="P31" s="14"/>
      <c r="Q31" s="11" t="n">
        <f aca="false">SUM(O31-P31)</f>
        <v>0</v>
      </c>
    </row>
    <row r="32" customFormat="false" ht="15.75" hidden="true" customHeight="false" outlineLevel="0" collapsed="false">
      <c r="A32" s="14"/>
      <c r="B32" s="14"/>
      <c r="C32" s="14"/>
      <c r="D32" s="14"/>
      <c r="E32" s="11" t="n">
        <f aca="false">SUM(C32-D32)</f>
        <v>0</v>
      </c>
      <c r="G32" s="14"/>
      <c r="H32" s="14"/>
      <c r="I32" s="14"/>
      <c r="J32" s="14"/>
      <c r="K32" s="11" t="n">
        <f aca="false">SUM(I32-J32)</f>
        <v>0</v>
      </c>
      <c r="M32" s="14"/>
      <c r="N32" s="14"/>
      <c r="O32" s="14"/>
      <c r="P32" s="14"/>
      <c r="Q32" s="11" t="n">
        <f aca="false">SUM(O32-P32)</f>
        <v>0</v>
      </c>
    </row>
    <row r="33" customFormat="false" ht="15.75" hidden="true" customHeight="false" outlineLevel="0" collapsed="false">
      <c r="A33" s="14"/>
      <c r="B33" s="14"/>
      <c r="C33" s="14"/>
      <c r="D33" s="14"/>
      <c r="E33" s="11" t="n">
        <f aca="false">SUM(C33-D33)</f>
        <v>0</v>
      </c>
      <c r="G33" s="14"/>
      <c r="H33" s="14"/>
      <c r="I33" s="14"/>
      <c r="J33" s="14"/>
      <c r="K33" s="11" t="n">
        <f aca="false">SUM(I33-J33)</f>
        <v>0</v>
      </c>
      <c r="M33" s="14"/>
      <c r="N33" s="14"/>
      <c r="O33" s="14"/>
      <c r="P33" s="14"/>
      <c r="Q33" s="11" t="n">
        <f aca="false">SUM(O33-P33)</f>
        <v>0</v>
      </c>
    </row>
    <row r="34" customFormat="false" ht="15.75" hidden="true" customHeight="false" outlineLevel="0" collapsed="false">
      <c r="A34" s="14"/>
      <c r="B34" s="14"/>
      <c r="C34" s="14"/>
      <c r="D34" s="14"/>
      <c r="E34" s="11" t="n">
        <f aca="false">SUM(C34-D34)</f>
        <v>0</v>
      </c>
      <c r="G34" s="14"/>
      <c r="H34" s="14"/>
      <c r="I34" s="14"/>
      <c r="J34" s="14"/>
      <c r="K34" s="11" t="n">
        <f aca="false">SUM(I34-J34)</f>
        <v>0</v>
      </c>
      <c r="M34" s="14"/>
      <c r="N34" s="14"/>
      <c r="O34" s="14"/>
      <c r="P34" s="14"/>
      <c r="Q34" s="11" t="n">
        <f aca="false">SUM(O34-P34)</f>
        <v>0</v>
      </c>
    </row>
    <row r="35" customFormat="false" ht="15.75" hidden="true" customHeight="false" outlineLevel="0" collapsed="false">
      <c r="A35" s="14"/>
      <c r="B35" s="14"/>
      <c r="C35" s="14"/>
      <c r="D35" s="14"/>
      <c r="E35" s="11" t="n">
        <f aca="false">SUM(C35-D35)</f>
        <v>0</v>
      </c>
      <c r="G35" s="14"/>
      <c r="H35" s="14"/>
      <c r="I35" s="14"/>
      <c r="J35" s="14"/>
      <c r="K35" s="11" t="n">
        <f aca="false">SUM(I35-J35)</f>
        <v>0</v>
      </c>
      <c r="M35" s="14"/>
      <c r="N35" s="14"/>
      <c r="O35" s="14"/>
      <c r="P35" s="14"/>
      <c r="Q35" s="11" t="n">
        <f aca="false">SUM(O35-P35)</f>
        <v>0</v>
      </c>
    </row>
    <row r="36" customFormat="false" ht="15.75" hidden="true" customHeight="false" outlineLevel="0" collapsed="false">
      <c r="A36" s="14"/>
      <c r="B36" s="14"/>
      <c r="C36" s="14"/>
      <c r="D36" s="14"/>
      <c r="E36" s="11" t="n">
        <f aca="false">SUM(C36-D36)</f>
        <v>0</v>
      </c>
      <c r="G36" s="14"/>
      <c r="H36" s="14"/>
      <c r="I36" s="14"/>
      <c r="J36" s="14"/>
      <c r="K36" s="11" t="n">
        <f aca="false">SUM(I36-J36)</f>
        <v>0</v>
      </c>
      <c r="M36" s="14"/>
      <c r="N36" s="14"/>
      <c r="O36" s="14"/>
      <c r="P36" s="14"/>
      <c r="Q36" s="11" t="n">
        <f aca="false">SUM(O36-P36)</f>
        <v>0</v>
      </c>
    </row>
    <row r="37" customFormat="false" ht="15.75" hidden="true" customHeight="false" outlineLevel="0" collapsed="false">
      <c r="A37" s="14"/>
      <c r="B37" s="14"/>
      <c r="C37" s="14"/>
      <c r="D37" s="14"/>
      <c r="E37" s="11" t="n">
        <f aca="false">SUM(C37-D37)</f>
        <v>0</v>
      </c>
      <c r="G37" s="14"/>
      <c r="H37" s="14"/>
      <c r="I37" s="14"/>
      <c r="J37" s="14"/>
      <c r="K37" s="11" t="n">
        <f aca="false">SUM(I37-J37)</f>
        <v>0</v>
      </c>
      <c r="M37" s="14"/>
      <c r="N37" s="14"/>
      <c r="O37" s="14"/>
      <c r="P37" s="14"/>
      <c r="Q37" s="11" t="n">
        <f aca="false">SUM(O37-P37)</f>
        <v>0</v>
      </c>
    </row>
    <row r="38" customFormat="false" ht="15.75" hidden="true" customHeight="false" outlineLevel="0" collapsed="false">
      <c r="A38" s="14"/>
      <c r="B38" s="14"/>
      <c r="C38" s="14"/>
      <c r="D38" s="14"/>
      <c r="E38" s="11" t="n">
        <f aca="false">SUM(C38-D38)</f>
        <v>0</v>
      </c>
      <c r="G38" s="14"/>
      <c r="H38" s="14"/>
      <c r="I38" s="14"/>
      <c r="J38" s="14"/>
      <c r="K38" s="11" t="n">
        <f aca="false">SUM(I38-J38)</f>
        <v>0</v>
      </c>
      <c r="M38" s="14"/>
      <c r="N38" s="14"/>
      <c r="O38" s="14"/>
      <c r="P38" s="14"/>
      <c r="Q38" s="11" t="n">
        <f aca="false">SUM(O38-P38)</f>
        <v>0</v>
      </c>
    </row>
    <row r="39" customFormat="false" ht="15.75" hidden="true" customHeight="false" outlineLevel="0" collapsed="false">
      <c r="A39" s="14"/>
      <c r="B39" s="14"/>
      <c r="C39" s="14"/>
      <c r="D39" s="14"/>
      <c r="E39" s="11" t="n">
        <f aca="false">SUM(C39-D39)</f>
        <v>0</v>
      </c>
      <c r="G39" s="14"/>
      <c r="H39" s="14"/>
      <c r="I39" s="14"/>
      <c r="J39" s="14"/>
      <c r="K39" s="11" t="n">
        <f aca="false">SUM(I39-J39)</f>
        <v>0</v>
      </c>
      <c r="M39" s="14"/>
      <c r="N39" s="14"/>
      <c r="O39" s="14"/>
      <c r="P39" s="14"/>
      <c r="Q39" s="11" t="n">
        <f aca="false">SUM(O39-P39)</f>
        <v>0</v>
      </c>
    </row>
    <row r="40" customFormat="false" ht="15.75" hidden="true" customHeight="false" outlineLevel="0" collapsed="false">
      <c r="A40" s="14"/>
      <c r="B40" s="14"/>
      <c r="C40" s="14"/>
      <c r="D40" s="14"/>
      <c r="E40" s="11" t="n">
        <f aca="false">SUM(C40-D40)</f>
        <v>0</v>
      </c>
      <c r="G40" s="14"/>
      <c r="H40" s="14"/>
      <c r="I40" s="14"/>
      <c r="J40" s="14"/>
      <c r="K40" s="11" t="n">
        <f aca="false">SUM(I40-J40)</f>
        <v>0</v>
      </c>
      <c r="M40" s="14"/>
      <c r="N40" s="14"/>
      <c r="O40" s="14"/>
      <c r="P40" s="14"/>
      <c r="Q40" s="11" t="n">
        <f aca="false">SUM(O40-P40)</f>
        <v>0</v>
      </c>
    </row>
    <row r="41" customFormat="false" ht="15.75" hidden="true" customHeight="false" outlineLevel="0" collapsed="false">
      <c r="A41" s="14"/>
      <c r="B41" s="14"/>
      <c r="C41" s="14"/>
      <c r="D41" s="14"/>
      <c r="E41" s="11" t="n">
        <f aca="false">SUM(C41-D41)</f>
        <v>0</v>
      </c>
      <c r="G41" s="14"/>
      <c r="H41" s="14"/>
      <c r="I41" s="14"/>
      <c r="J41" s="14"/>
      <c r="K41" s="11" t="n">
        <f aca="false">SUM(I41-J41)</f>
        <v>0</v>
      </c>
      <c r="M41" s="14"/>
      <c r="N41" s="14"/>
      <c r="O41" s="14"/>
      <c r="P41" s="14"/>
      <c r="Q41" s="11" t="n">
        <f aca="false">SUM(O41-P41)</f>
        <v>0</v>
      </c>
    </row>
    <row r="42" customFormat="false" ht="15.75" hidden="true" customHeight="false" outlineLevel="0" collapsed="false">
      <c r="A42" s="14"/>
      <c r="B42" s="14"/>
      <c r="C42" s="14"/>
      <c r="D42" s="14"/>
      <c r="E42" s="11" t="n">
        <f aca="false">SUM(C42-D42)</f>
        <v>0</v>
      </c>
      <c r="G42" s="14"/>
      <c r="H42" s="14"/>
      <c r="I42" s="14"/>
      <c r="J42" s="14"/>
      <c r="K42" s="11" t="n">
        <f aca="false">SUM(I42-J42)</f>
        <v>0</v>
      </c>
      <c r="M42" s="14"/>
      <c r="N42" s="14"/>
      <c r="O42" s="14"/>
      <c r="P42" s="14"/>
      <c r="Q42" s="11" t="n">
        <f aca="false">SUM(O42-P42)</f>
        <v>0</v>
      </c>
    </row>
    <row r="43" customFormat="false" ht="15.75" hidden="true" customHeight="false" outlineLevel="0" collapsed="false">
      <c r="A43" s="14"/>
      <c r="B43" s="14"/>
      <c r="C43" s="14"/>
      <c r="D43" s="14"/>
      <c r="E43" s="11" t="n">
        <f aca="false">SUM(C43-D43)</f>
        <v>0</v>
      </c>
      <c r="G43" s="14"/>
      <c r="H43" s="14"/>
      <c r="I43" s="14"/>
      <c r="J43" s="14"/>
      <c r="K43" s="11" t="n">
        <f aca="false">SUM(I43-J43)</f>
        <v>0</v>
      </c>
      <c r="M43" s="14"/>
      <c r="N43" s="14"/>
      <c r="O43" s="14"/>
      <c r="P43" s="14"/>
      <c r="Q43" s="11" t="n">
        <f aca="false">SUM(O43-P43)</f>
        <v>0</v>
      </c>
    </row>
    <row r="44" customFormat="false" ht="15.75" hidden="true" customHeight="false" outlineLevel="0" collapsed="false">
      <c r="A44" s="14"/>
      <c r="B44" s="14"/>
      <c r="C44" s="14"/>
      <c r="D44" s="14"/>
      <c r="E44" s="11" t="n">
        <f aca="false">SUM(C44-D44)</f>
        <v>0</v>
      </c>
      <c r="G44" s="14"/>
      <c r="H44" s="14"/>
      <c r="I44" s="14"/>
      <c r="J44" s="14"/>
      <c r="K44" s="11" t="n">
        <f aca="false">SUM(I44-J44)</f>
        <v>0</v>
      </c>
      <c r="M44" s="14"/>
      <c r="N44" s="14"/>
      <c r="O44" s="14"/>
      <c r="P44" s="14"/>
      <c r="Q44" s="11" t="n">
        <f aca="false">SUM(O44-P44)</f>
        <v>0</v>
      </c>
    </row>
    <row r="45" customFormat="false" ht="15.75" hidden="true" customHeight="false" outlineLevel="0" collapsed="false">
      <c r="A45" s="14"/>
      <c r="B45" s="14"/>
      <c r="C45" s="14"/>
      <c r="D45" s="14"/>
      <c r="E45" s="11" t="n">
        <f aca="false">SUM(C45-D45)</f>
        <v>0</v>
      </c>
      <c r="G45" s="14"/>
      <c r="H45" s="14"/>
      <c r="I45" s="14"/>
      <c r="J45" s="14"/>
      <c r="K45" s="11" t="n">
        <f aca="false">SUM(I45-J45)</f>
        <v>0</v>
      </c>
      <c r="M45" s="14"/>
      <c r="N45" s="14"/>
      <c r="O45" s="14"/>
      <c r="P45" s="14"/>
      <c r="Q45" s="11" t="n">
        <f aca="false">SUM(O45-P45)</f>
        <v>0</v>
      </c>
    </row>
    <row r="46" customFormat="false" ht="15.75" hidden="true" customHeight="false" outlineLevel="0" collapsed="false">
      <c r="A46" s="14"/>
      <c r="B46" s="14"/>
      <c r="C46" s="14"/>
      <c r="D46" s="14"/>
      <c r="E46" s="11" t="n">
        <f aca="false">SUM(C46-D46)</f>
        <v>0</v>
      </c>
      <c r="G46" s="14"/>
      <c r="H46" s="14"/>
      <c r="I46" s="14"/>
      <c r="J46" s="14"/>
      <c r="K46" s="11" t="n">
        <f aca="false">SUM(I46-J46)</f>
        <v>0</v>
      </c>
      <c r="M46" s="14"/>
      <c r="N46" s="14"/>
      <c r="O46" s="14"/>
      <c r="P46" s="14"/>
      <c r="Q46" s="11" t="n">
        <f aca="false">SUM(O46-P46)</f>
        <v>0</v>
      </c>
    </row>
    <row r="47" customFormat="false" ht="15.75" hidden="true" customHeight="false" outlineLevel="0" collapsed="false">
      <c r="A47" s="14"/>
      <c r="B47" s="14"/>
      <c r="C47" s="14"/>
      <c r="D47" s="14"/>
      <c r="E47" s="11" t="n">
        <f aca="false">SUM(C47-D47)</f>
        <v>0</v>
      </c>
      <c r="G47" s="14"/>
      <c r="H47" s="14"/>
      <c r="I47" s="14"/>
      <c r="J47" s="14"/>
      <c r="K47" s="11" t="n">
        <f aca="false">SUM(I47-J47)</f>
        <v>0</v>
      </c>
      <c r="M47" s="14"/>
      <c r="N47" s="14"/>
      <c r="O47" s="14"/>
      <c r="P47" s="14"/>
      <c r="Q47" s="11" t="n">
        <f aca="false">SUM(O47-P47)</f>
        <v>0</v>
      </c>
    </row>
    <row r="48" customFormat="false" ht="15.75" hidden="true" customHeight="false" outlineLevel="0" collapsed="false">
      <c r="A48" s="14"/>
      <c r="B48" s="14"/>
      <c r="C48" s="14"/>
      <c r="D48" s="14"/>
      <c r="E48" s="11" t="n">
        <f aca="false">SUM(C48-D48)</f>
        <v>0</v>
      </c>
      <c r="G48" s="14"/>
      <c r="H48" s="14"/>
      <c r="I48" s="14"/>
      <c r="J48" s="14"/>
      <c r="K48" s="11" t="n">
        <f aca="false">SUM(I48-J48)</f>
        <v>0</v>
      </c>
      <c r="M48" s="14"/>
      <c r="N48" s="14"/>
      <c r="O48" s="14"/>
      <c r="P48" s="14"/>
      <c r="Q48" s="11" t="n">
        <f aca="false">SUM(O48-P48)</f>
        <v>0</v>
      </c>
    </row>
    <row r="49" customFormat="false" ht="15.75" hidden="true" customHeight="false" outlineLevel="0" collapsed="false">
      <c r="A49" s="14"/>
      <c r="B49" s="14"/>
      <c r="C49" s="14"/>
      <c r="D49" s="14"/>
      <c r="E49" s="11" t="n">
        <f aca="false">SUM(C49-D49)</f>
        <v>0</v>
      </c>
      <c r="G49" s="14"/>
      <c r="H49" s="14"/>
      <c r="I49" s="14"/>
      <c r="J49" s="14"/>
      <c r="K49" s="11" t="n">
        <f aca="false">SUM(I49-J49)</f>
        <v>0</v>
      </c>
      <c r="M49" s="14"/>
      <c r="N49" s="14"/>
      <c r="O49" s="14"/>
      <c r="P49" s="14"/>
      <c r="Q49" s="11" t="n">
        <f aca="false">SUM(O49-P49)</f>
        <v>0</v>
      </c>
    </row>
    <row r="50" customFormat="false" ht="15.75" hidden="true" customHeight="false" outlineLevel="0" collapsed="false">
      <c r="A50" s="14"/>
      <c r="B50" s="14"/>
      <c r="C50" s="14"/>
      <c r="D50" s="14"/>
      <c r="E50" s="11" t="n">
        <f aca="false">SUM(C50-D50)</f>
        <v>0</v>
      </c>
      <c r="G50" s="14"/>
      <c r="H50" s="14"/>
      <c r="I50" s="14"/>
      <c r="J50" s="14"/>
      <c r="K50" s="11" t="n">
        <f aca="false">SUM(I50-J50)</f>
        <v>0</v>
      </c>
      <c r="M50" s="14"/>
      <c r="N50" s="14"/>
      <c r="O50" s="14"/>
      <c r="P50" s="14"/>
      <c r="Q50" s="11" t="n">
        <f aca="false">SUM(O50-P50)</f>
        <v>0</v>
      </c>
    </row>
    <row r="51" customFormat="false" ht="15.75" hidden="true" customHeight="false" outlineLevel="0" collapsed="false">
      <c r="A51" s="14"/>
      <c r="B51" s="14"/>
      <c r="C51" s="14"/>
      <c r="D51" s="14"/>
      <c r="E51" s="11" t="n">
        <f aca="false">SUM(C51-D51)</f>
        <v>0</v>
      </c>
      <c r="G51" s="14"/>
      <c r="H51" s="14"/>
      <c r="I51" s="14"/>
      <c r="J51" s="14"/>
      <c r="K51" s="11" t="n">
        <f aca="false">SUM(I51-J51)</f>
        <v>0</v>
      </c>
      <c r="M51" s="14"/>
      <c r="N51" s="14"/>
      <c r="O51" s="14"/>
      <c r="P51" s="14"/>
      <c r="Q51" s="11" t="n">
        <f aca="false">SUM(O51-P51)</f>
        <v>0</v>
      </c>
    </row>
    <row r="52" customFormat="false" ht="15.75" hidden="true" customHeight="false" outlineLevel="0" collapsed="false">
      <c r="A52" s="14"/>
      <c r="B52" s="14"/>
      <c r="C52" s="14"/>
      <c r="D52" s="14"/>
      <c r="E52" s="11" t="n">
        <f aca="false">SUM(C52-D52)</f>
        <v>0</v>
      </c>
      <c r="G52" s="14"/>
      <c r="H52" s="14"/>
      <c r="I52" s="14"/>
      <c r="J52" s="14"/>
      <c r="K52" s="11" t="n">
        <f aca="false">SUM(I52-J52)</f>
        <v>0</v>
      </c>
      <c r="M52" s="14"/>
      <c r="N52" s="14"/>
      <c r="O52" s="14"/>
      <c r="P52" s="14"/>
      <c r="Q52" s="11" t="n">
        <f aca="false">SUM(O52-P52)</f>
        <v>0</v>
      </c>
    </row>
    <row r="53" customFormat="false" ht="15.75" hidden="true" customHeight="false" outlineLevel="0" collapsed="false"/>
    <row r="54" customFormat="false" ht="15.75" hidden="false" customHeight="false" outlineLevel="0" collapsed="false">
      <c r="C54" s="18" t="s">
        <v>24</v>
      </c>
      <c r="D54" s="18" t="s">
        <v>24</v>
      </c>
      <c r="E54" s="19" t="s">
        <v>24</v>
      </c>
      <c r="I54" s="18" t="s">
        <v>24</v>
      </c>
      <c r="J54" s="18" t="s">
        <v>24</v>
      </c>
      <c r="K54" s="19" t="s">
        <v>24</v>
      </c>
      <c r="O54" s="18" t="s">
        <v>24</v>
      </c>
      <c r="P54" s="18" t="s">
        <v>24</v>
      </c>
      <c r="Q54" s="19" t="s">
        <v>24</v>
      </c>
    </row>
    <row r="55" customFormat="false" ht="15.75" hidden="false" customHeight="false" outlineLevel="0" collapsed="false">
      <c r="C55" s="11" t="n">
        <f aca="false">SUM(C4:C52)</f>
        <v>0</v>
      </c>
      <c r="D55" s="11" t="n">
        <f aca="false">SUM(D4:D52)</f>
        <v>145.6</v>
      </c>
      <c r="E55" s="11" t="n">
        <f aca="false">SUM(E4:E52)</f>
        <v>-145.6</v>
      </c>
      <c r="I55" s="11" t="n">
        <f aca="false">SUM(I4:I52)</f>
        <v>0</v>
      </c>
      <c r="J55" s="11" t="n">
        <f aca="false">SUM(J4:J52)</f>
        <v>225.67</v>
      </c>
      <c r="K55" s="11" t="n">
        <f aca="false">SUM(K4:K52)</f>
        <v>-225.67</v>
      </c>
      <c r="O55" s="11" t="n">
        <f aca="false">SUM(O4:O52)</f>
        <v>35</v>
      </c>
      <c r="P55" s="11" t="n">
        <f aca="false">SUM(P4:P52)</f>
        <v>40</v>
      </c>
      <c r="Q55" s="11" t="n">
        <f aca="false">SUM(Q4:Q52)</f>
        <v>-5</v>
      </c>
    </row>
    <row r="60" customFormat="false" ht="13.8" hidden="false" customHeight="false" outlineLevel="0" collapsed="false"/>
    <row r="61" customFormat="false" ht="13.8" hidden="false" customHeight="false" outlineLevel="0" collapsed="false">
      <c r="A61" s="20"/>
      <c r="C61" s="21"/>
      <c r="D61" s="21"/>
      <c r="G61" s="20"/>
      <c r="I61" s="21"/>
      <c r="J61" s="21"/>
      <c r="M61" s="20"/>
      <c r="O61" s="21"/>
    </row>
    <row r="62" customFormat="false" ht="13.8" hidden="false" customHeight="false" outlineLevel="0" collapsed="false">
      <c r="A62" s="20"/>
      <c r="C62" s="22"/>
      <c r="G62" s="20"/>
      <c r="I62" s="22"/>
      <c r="M62" s="20"/>
      <c r="O62" s="22"/>
    </row>
    <row r="63" customFormat="false" ht="13.8" hidden="false" customHeight="false" outlineLevel="0" collapsed="false">
      <c r="A63" s="1"/>
      <c r="B63" s="1"/>
      <c r="C63" s="1"/>
      <c r="D63" s="1"/>
      <c r="E63" s="1"/>
      <c r="H63" s="1"/>
      <c r="I63" s="1"/>
      <c r="J63" s="1"/>
      <c r="K63" s="1"/>
      <c r="L63" s="1"/>
      <c r="O63" s="1"/>
      <c r="P63" s="1"/>
      <c r="Q63" s="1"/>
      <c r="R63" s="1"/>
      <c r="S63" s="1"/>
    </row>
    <row r="64" customFormat="false" ht="15.75" hidden="false" customHeight="true" outlineLevel="0" collapsed="false">
      <c r="A64" s="1"/>
      <c r="B64" s="1"/>
      <c r="C64" s="1"/>
      <c r="D64" s="1"/>
      <c r="E64" s="1"/>
      <c r="H64" s="1"/>
      <c r="I64" s="1"/>
      <c r="J64" s="1"/>
      <c r="K64" s="1"/>
      <c r="L64" s="1"/>
      <c r="O64" s="1"/>
      <c r="P64" s="1"/>
      <c r="Q64" s="1"/>
      <c r="R64" s="1"/>
      <c r="S64" s="1"/>
    </row>
    <row r="65" customFormat="false" ht="15.75" hidden="false" customHeight="true" outlineLevel="0" collapsed="false">
      <c r="A65" s="2"/>
      <c r="B65" s="3"/>
      <c r="C65" s="4"/>
      <c r="D65" s="4"/>
      <c r="E65" s="5"/>
      <c r="G65" s="5"/>
      <c r="H65" s="2"/>
      <c r="I65" s="3"/>
      <c r="J65" s="3"/>
      <c r="K65" s="3"/>
      <c r="L65" s="5"/>
      <c r="O65" s="2"/>
      <c r="P65" s="3"/>
      <c r="Q65" s="3"/>
      <c r="R65" s="3"/>
      <c r="S65" s="5"/>
    </row>
    <row r="66" customFormat="false" ht="13.8" hidden="false" customHeight="false" outlineLevel="0" collapsed="false">
      <c r="A66" s="10"/>
      <c r="B66" s="11"/>
      <c r="C66" s="23"/>
      <c r="D66" s="23"/>
      <c r="E66" s="24"/>
      <c r="F66" s="25"/>
      <c r="G66" s="24"/>
      <c r="H66" s="10"/>
      <c r="L66" s="24"/>
      <c r="O66" s="26"/>
      <c r="P66" s="27"/>
      <c r="Q66" s="27"/>
      <c r="R66" s="27"/>
      <c r="S66" s="28"/>
    </row>
    <row r="67" customFormat="false" ht="13.8" hidden="false" customHeight="false" outlineLevel="0" collapsed="false">
      <c r="A67" s="10"/>
      <c r="B67" s="14"/>
      <c r="C67" s="23"/>
      <c r="D67" s="23"/>
      <c r="E67" s="24"/>
      <c r="F67" s="25"/>
      <c r="G67" s="24"/>
      <c r="H67" s="10"/>
      <c r="L67" s="24"/>
      <c r="O67" s="29"/>
      <c r="P67" s="30"/>
      <c r="Q67" s="30"/>
      <c r="R67" s="30"/>
      <c r="S67" s="31"/>
    </row>
    <row r="68" customFormat="false" ht="13.8" hidden="false" customHeight="false" outlineLevel="0" collapsed="false">
      <c r="A68" s="10"/>
      <c r="B68" s="14"/>
      <c r="C68" s="23"/>
      <c r="D68" s="23"/>
      <c r="E68" s="24"/>
      <c r="F68" s="25"/>
      <c r="G68" s="24"/>
      <c r="H68" s="10"/>
      <c r="L68" s="24"/>
      <c r="O68" s="29"/>
      <c r="P68" s="30"/>
      <c r="Q68" s="30"/>
      <c r="R68" s="30"/>
      <c r="S68" s="31"/>
    </row>
    <row r="69" customFormat="false" ht="13.8" hidden="false" customHeight="false" outlineLevel="0" collapsed="false">
      <c r="A69" s="16"/>
      <c r="B69" s="14"/>
      <c r="C69" s="23"/>
      <c r="D69" s="23"/>
      <c r="E69" s="24"/>
      <c r="G69" s="32"/>
      <c r="H69" s="16"/>
      <c r="L69" s="32"/>
      <c r="O69" s="29"/>
      <c r="P69" s="30"/>
      <c r="Q69" s="30"/>
      <c r="R69" s="30"/>
      <c r="S69" s="31"/>
    </row>
    <row r="70" customFormat="false" ht="13.8" hidden="false" customHeight="false" outlineLevel="0" collapsed="false">
      <c r="A70" s="16"/>
      <c r="B70" s="14"/>
      <c r="C70" s="23"/>
      <c r="D70" s="23"/>
      <c r="E70" s="24"/>
      <c r="F70" s="25"/>
      <c r="G70" s="32"/>
      <c r="H70" s="16"/>
      <c r="L70" s="32"/>
      <c r="O70" s="29"/>
      <c r="P70" s="30"/>
      <c r="Q70" s="30"/>
      <c r="R70" s="30"/>
      <c r="S70" s="31"/>
    </row>
    <row r="71" customFormat="false" ht="13.8" hidden="false" customHeight="false" outlineLevel="0" collapsed="false">
      <c r="A71" s="16"/>
      <c r="B71" s="14"/>
      <c r="C71" s="23"/>
      <c r="D71" s="23"/>
      <c r="E71" s="24"/>
      <c r="G71" s="32"/>
      <c r="H71" s="16"/>
      <c r="L71" s="32"/>
      <c r="O71" s="29"/>
      <c r="P71" s="30"/>
      <c r="Q71" s="30"/>
      <c r="R71" s="30"/>
      <c r="S71" s="31"/>
    </row>
    <row r="72" customFormat="false" ht="13.8" hidden="false" customHeight="false" outlineLevel="0" collapsed="false">
      <c r="A72" s="16"/>
      <c r="B72" s="14"/>
      <c r="C72" s="23"/>
      <c r="D72" s="23"/>
      <c r="E72" s="24"/>
      <c r="F72" s="25"/>
      <c r="G72" s="32"/>
      <c r="H72" s="16"/>
      <c r="L72" s="32"/>
      <c r="O72" s="33"/>
      <c r="P72" s="30"/>
      <c r="Q72" s="30"/>
      <c r="R72" s="30"/>
      <c r="S72" s="31"/>
    </row>
    <row r="73" customFormat="false" ht="13.8" hidden="false" customHeight="false" outlineLevel="0" collapsed="false">
      <c r="A73" s="16"/>
      <c r="B73" s="14"/>
      <c r="C73" s="23"/>
      <c r="D73" s="23"/>
      <c r="E73" s="24"/>
      <c r="G73" s="32"/>
      <c r="H73" s="16"/>
      <c r="L73" s="32"/>
      <c r="O73" s="33"/>
      <c r="P73" s="30"/>
      <c r="Q73" s="30"/>
      <c r="R73" s="30"/>
      <c r="S73" s="31"/>
    </row>
    <row r="74" customFormat="false" ht="13.8" hidden="false" customHeight="false" outlineLevel="0" collapsed="false">
      <c r="A74" s="16"/>
      <c r="B74" s="14"/>
      <c r="C74" s="23"/>
      <c r="D74" s="23"/>
      <c r="E74" s="24"/>
      <c r="F74" s="25"/>
      <c r="G74" s="32"/>
      <c r="H74" s="16"/>
      <c r="L74" s="32"/>
      <c r="O74" s="33"/>
      <c r="P74" s="30"/>
      <c r="Q74" s="30"/>
      <c r="R74" s="30"/>
      <c r="S74" s="31"/>
    </row>
    <row r="75" customFormat="false" ht="13.8" hidden="false" customHeight="false" outlineLevel="0" collapsed="false">
      <c r="A75" s="16"/>
      <c r="B75" s="14"/>
      <c r="C75" s="23"/>
      <c r="D75" s="23"/>
      <c r="E75" s="24"/>
      <c r="G75" s="32"/>
      <c r="H75" s="16"/>
      <c r="L75" s="32"/>
      <c r="O75" s="33"/>
      <c r="P75" s="30"/>
      <c r="Q75" s="30"/>
      <c r="R75" s="30"/>
      <c r="S75" s="31"/>
    </row>
    <row r="76" customFormat="false" ht="13.8" hidden="false" customHeight="false" outlineLevel="0" collapsed="false">
      <c r="A76" s="16"/>
      <c r="B76" s="14"/>
      <c r="C76" s="23"/>
      <c r="D76" s="23"/>
      <c r="E76" s="24"/>
      <c r="F76" s="25"/>
      <c r="G76" s="32"/>
      <c r="H76" s="16"/>
      <c r="L76" s="32"/>
      <c r="O76" s="33"/>
      <c r="P76" s="30"/>
      <c r="Q76" s="30"/>
      <c r="R76" s="30"/>
      <c r="S76" s="31"/>
    </row>
    <row r="77" customFormat="false" ht="13.8" hidden="false" customHeight="false" outlineLevel="0" collapsed="false">
      <c r="A77" s="16"/>
      <c r="B77" s="14"/>
      <c r="C77" s="23"/>
      <c r="D77" s="23"/>
      <c r="E77" s="24"/>
      <c r="G77" s="32"/>
      <c r="H77" s="16"/>
      <c r="L77" s="32"/>
      <c r="O77" s="33"/>
      <c r="P77" s="30"/>
      <c r="Q77" s="30"/>
      <c r="R77" s="30"/>
      <c r="S77" s="31"/>
    </row>
    <row r="78" customFormat="false" ht="13.8" hidden="false" customHeight="false" outlineLevel="0" collapsed="false">
      <c r="A78" s="16"/>
      <c r="B78" s="14"/>
      <c r="C78" s="23"/>
      <c r="D78" s="23"/>
      <c r="E78" s="24"/>
      <c r="F78" s="25"/>
      <c r="G78" s="32"/>
      <c r="H78" s="16"/>
      <c r="L78" s="32"/>
      <c r="O78" s="33"/>
      <c r="P78" s="30"/>
      <c r="Q78" s="30"/>
      <c r="R78" s="30"/>
      <c r="S78" s="31"/>
    </row>
    <row r="79" customFormat="false" ht="13.8" hidden="false" customHeight="false" outlineLevel="0" collapsed="false">
      <c r="A79" s="16"/>
      <c r="B79" s="14"/>
      <c r="C79" s="23"/>
      <c r="D79" s="23"/>
      <c r="E79" s="24"/>
      <c r="F79" s="25"/>
      <c r="G79" s="32"/>
      <c r="H79" s="16"/>
      <c r="L79" s="32"/>
      <c r="O79" s="33"/>
      <c r="P79" s="30"/>
      <c r="Q79" s="30"/>
      <c r="R79" s="30"/>
      <c r="S79" s="31"/>
    </row>
    <row r="80" customFormat="false" ht="13.8" hidden="false" customHeight="false" outlineLevel="0" collapsed="false">
      <c r="A80" s="16"/>
      <c r="B80" s="14"/>
      <c r="C80" s="23"/>
      <c r="D80" s="23"/>
      <c r="E80" s="24"/>
      <c r="G80" s="32"/>
      <c r="H80" s="16"/>
      <c r="L80" s="32"/>
      <c r="O80" s="33"/>
      <c r="P80" s="30"/>
      <c r="Q80" s="30"/>
      <c r="R80" s="30"/>
      <c r="S80" s="31"/>
    </row>
    <row r="81" customFormat="false" ht="13.8" hidden="false" customHeight="false" outlineLevel="0" collapsed="false">
      <c r="A81" s="16"/>
      <c r="B81" s="14"/>
      <c r="C81" s="23"/>
      <c r="D81" s="23"/>
      <c r="E81" s="24"/>
      <c r="F81" s="25"/>
      <c r="G81" s="32"/>
      <c r="H81" s="16"/>
      <c r="L81" s="32"/>
      <c r="O81" s="33"/>
      <c r="P81" s="30"/>
      <c r="Q81" s="30"/>
      <c r="R81" s="30"/>
      <c r="S81" s="31"/>
    </row>
    <row r="82" customFormat="false" ht="13.8" hidden="false" customHeight="false" outlineLevel="0" collapsed="false">
      <c r="A82" s="16"/>
      <c r="B82" s="14"/>
      <c r="C82" s="23"/>
      <c r="D82" s="23"/>
      <c r="E82" s="24"/>
      <c r="G82" s="32"/>
      <c r="H82" s="16"/>
      <c r="L82" s="32"/>
      <c r="O82" s="33"/>
      <c r="P82" s="30"/>
      <c r="Q82" s="30"/>
      <c r="R82" s="30"/>
      <c r="S82" s="31"/>
    </row>
    <row r="83" customFormat="false" ht="13.8" hidden="false" customHeight="false" outlineLevel="0" collapsed="false">
      <c r="A83" s="16"/>
      <c r="B83" s="14"/>
      <c r="C83" s="23"/>
      <c r="D83" s="23"/>
      <c r="E83" s="24"/>
      <c r="F83" s="25"/>
      <c r="G83" s="32"/>
      <c r="H83" s="14"/>
      <c r="L83" s="32"/>
      <c r="O83" s="33"/>
      <c r="P83" s="30"/>
      <c r="Q83" s="30"/>
      <c r="R83" s="30"/>
      <c r="S83" s="31"/>
    </row>
    <row r="84" customFormat="false" ht="13.8" hidden="false" customHeight="false" outlineLevel="0" collapsed="false">
      <c r="A84" s="16"/>
      <c r="B84" s="14"/>
      <c r="C84" s="23"/>
      <c r="D84" s="23"/>
      <c r="E84" s="24"/>
      <c r="G84" s="32"/>
      <c r="H84" s="14"/>
      <c r="L84" s="32"/>
      <c r="O84" s="33"/>
      <c r="P84" s="30"/>
      <c r="Q84" s="30"/>
      <c r="R84" s="30"/>
      <c r="S84" s="31"/>
    </row>
    <row r="85" customFormat="false" ht="13.8" hidden="false" customHeight="false" outlineLevel="0" collapsed="false">
      <c r="A85" s="16"/>
      <c r="B85" s="14"/>
      <c r="C85" s="23"/>
      <c r="D85" s="23"/>
      <c r="E85" s="24"/>
      <c r="F85" s="25"/>
      <c r="G85" s="32"/>
      <c r="H85" s="14"/>
      <c r="L85" s="32"/>
      <c r="O85" s="33"/>
      <c r="P85" s="30"/>
      <c r="Q85" s="30"/>
      <c r="R85" s="30"/>
      <c r="S85" s="31"/>
    </row>
    <row r="86" customFormat="false" ht="13.8" hidden="false" customHeight="false" outlineLevel="0" collapsed="false">
      <c r="A86" s="16"/>
      <c r="B86" s="14"/>
      <c r="C86" s="23"/>
      <c r="D86" s="23"/>
      <c r="E86" s="24"/>
      <c r="F86" s="25"/>
      <c r="G86" s="32"/>
      <c r="H86" s="14"/>
      <c r="L86" s="32"/>
      <c r="O86" s="33"/>
      <c r="P86" s="30"/>
      <c r="Q86" s="30"/>
      <c r="R86" s="30"/>
      <c r="S86" s="31"/>
    </row>
    <row r="87" customFormat="false" ht="13.8" hidden="false" customHeight="false" outlineLevel="0" collapsed="false">
      <c r="A87" s="16"/>
      <c r="B87" s="14"/>
      <c r="C87" s="23"/>
      <c r="D87" s="23"/>
      <c r="E87" s="24"/>
      <c r="F87" s="25"/>
      <c r="G87" s="32"/>
      <c r="H87" s="14"/>
      <c r="L87" s="32"/>
      <c r="O87" s="33"/>
      <c r="P87" s="30"/>
      <c r="Q87" s="30"/>
      <c r="R87" s="30"/>
      <c r="S87" s="31"/>
    </row>
    <row r="88" customFormat="false" ht="13.8" hidden="false" customHeight="false" outlineLevel="0" collapsed="false">
      <c r="A88" s="16"/>
      <c r="B88" s="14"/>
      <c r="C88" s="23"/>
      <c r="D88" s="23"/>
      <c r="E88" s="24"/>
      <c r="F88" s="25"/>
      <c r="G88" s="32"/>
      <c r="H88" s="14"/>
      <c r="L88" s="32"/>
      <c r="O88" s="33"/>
      <c r="P88" s="30"/>
      <c r="Q88" s="30"/>
      <c r="R88" s="30"/>
      <c r="S88" s="31"/>
    </row>
    <row r="89" customFormat="false" ht="13.8" hidden="false" customHeight="false" outlineLevel="0" collapsed="false">
      <c r="A89" s="16"/>
      <c r="B89" s="14"/>
      <c r="C89" s="23"/>
      <c r="D89" s="23"/>
      <c r="E89" s="24"/>
      <c r="G89" s="32"/>
      <c r="H89" s="14"/>
      <c r="L89" s="32"/>
      <c r="O89" s="33"/>
      <c r="P89" s="30"/>
      <c r="Q89" s="30"/>
      <c r="R89" s="30"/>
      <c r="S89" s="31"/>
    </row>
    <row r="90" customFormat="false" ht="13.8" hidden="false" customHeight="false" outlineLevel="0" collapsed="false">
      <c r="A90" s="16"/>
      <c r="B90" s="14"/>
      <c r="C90" s="23"/>
      <c r="D90" s="23"/>
      <c r="E90" s="24"/>
      <c r="F90" s="25"/>
      <c r="G90" s="32"/>
      <c r="H90" s="14"/>
      <c r="L90" s="32"/>
      <c r="O90" s="33"/>
      <c r="P90" s="30"/>
      <c r="Q90" s="30"/>
      <c r="R90" s="30"/>
      <c r="S90" s="31"/>
    </row>
    <row r="91" customFormat="false" ht="13.8" hidden="false" customHeight="false" outlineLevel="0" collapsed="false">
      <c r="E91" s="24"/>
      <c r="G91" s="32"/>
      <c r="H91" s="14"/>
      <c r="L91" s="32"/>
      <c r="O91" s="33"/>
      <c r="P91" s="30"/>
      <c r="Q91" s="30"/>
      <c r="R91" s="30"/>
      <c r="S91" s="31"/>
    </row>
    <row r="92" customFormat="false" ht="13.8" hidden="false" customHeight="false" outlineLevel="0" collapsed="false">
      <c r="E92" s="24"/>
      <c r="G92" s="32"/>
      <c r="H92" s="14"/>
      <c r="L92" s="32"/>
      <c r="O92" s="33"/>
      <c r="P92" s="30"/>
      <c r="Q92" s="30"/>
      <c r="R92" s="30"/>
      <c r="S92" s="31"/>
    </row>
    <row r="93" customFormat="false" ht="13.8" hidden="false" customHeight="false" outlineLevel="0" collapsed="false">
      <c r="E93" s="24"/>
      <c r="G93" s="32"/>
      <c r="H93" s="14"/>
      <c r="L93" s="32"/>
      <c r="O93" s="33"/>
      <c r="P93" s="30"/>
      <c r="Q93" s="30"/>
      <c r="R93" s="30"/>
      <c r="S93" s="31"/>
    </row>
    <row r="94" customFormat="false" ht="13.8" hidden="false" customHeight="false" outlineLevel="0" collapsed="false">
      <c r="E94" s="24"/>
      <c r="G94" s="32"/>
      <c r="H94" s="14"/>
      <c r="L94" s="32"/>
      <c r="O94" s="33"/>
      <c r="P94" s="30"/>
      <c r="Q94" s="30"/>
      <c r="R94" s="30"/>
      <c r="S94" s="31"/>
    </row>
    <row r="95" customFormat="false" ht="13.8" hidden="false" customHeight="false" outlineLevel="0" collapsed="false">
      <c r="E95" s="24"/>
      <c r="G95" s="32"/>
      <c r="H95" s="14"/>
      <c r="L95" s="32"/>
      <c r="O95" s="33"/>
      <c r="P95" s="30"/>
      <c r="Q95" s="30"/>
      <c r="R95" s="30"/>
      <c r="S95" s="31"/>
    </row>
    <row r="96" customFormat="false" ht="13.8" hidden="false" customHeight="false" outlineLevel="0" collapsed="false">
      <c r="A96" s="14"/>
      <c r="B96" s="14"/>
      <c r="C96" s="14"/>
      <c r="D96" s="14"/>
      <c r="E96" s="32"/>
      <c r="G96" s="32"/>
      <c r="H96" s="14"/>
      <c r="L96" s="32"/>
      <c r="O96" s="33"/>
      <c r="P96" s="30"/>
      <c r="Q96" s="30"/>
      <c r="R96" s="30"/>
      <c r="S96" s="31"/>
    </row>
    <row r="97" customFormat="false" ht="13.8" hidden="false" customHeight="false" outlineLevel="0" collapsed="false">
      <c r="A97" s="14"/>
      <c r="B97" s="14"/>
      <c r="C97" s="14"/>
      <c r="D97" s="14"/>
      <c r="E97" s="32"/>
      <c r="G97" s="32"/>
      <c r="H97" s="14"/>
      <c r="L97" s="32"/>
      <c r="O97" s="33"/>
      <c r="P97" s="30"/>
      <c r="Q97" s="30"/>
      <c r="R97" s="30"/>
      <c r="S97" s="31"/>
    </row>
    <row r="98" customFormat="false" ht="13.8" hidden="false" customHeight="false" outlineLevel="0" collapsed="false">
      <c r="A98" s="14"/>
      <c r="B98" s="14"/>
      <c r="C98" s="14"/>
      <c r="D98" s="14"/>
      <c r="E98" s="32"/>
      <c r="G98" s="32"/>
      <c r="H98" s="14"/>
      <c r="L98" s="32"/>
      <c r="O98" s="33"/>
      <c r="P98" s="30"/>
      <c r="Q98" s="30"/>
      <c r="R98" s="30"/>
      <c r="S98" s="31"/>
    </row>
    <row r="99" customFormat="false" ht="13.8" hidden="false" customHeight="false" outlineLevel="0" collapsed="false">
      <c r="A99" s="14"/>
      <c r="B99" s="14"/>
      <c r="C99" s="14"/>
      <c r="D99" s="14"/>
      <c r="E99" s="32"/>
      <c r="G99" s="32"/>
      <c r="H99" s="14"/>
      <c r="L99" s="32"/>
      <c r="O99" s="33"/>
      <c r="P99" s="30"/>
      <c r="Q99" s="30"/>
      <c r="R99" s="30"/>
      <c r="S99" s="31"/>
    </row>
    <row r="100" customFormat="false" ht="13.8" hidden="false" customHeight="false" outlineLevel="0" collapsed="false">
      <c r="A100" s="14"/>
      <c r="B100" s="14"/>
      <c r="C100" s="14"/>
      <c r="D100" s="14"/>
      <c r="E100" s="32"/>
      <c r="G100" s="32"/>
      <c r="H100" s="14"/>
      <c r="L100" s="32"/>
      <c r="O100" s="33"/>
      <c r="P100" s="30"/>
      <c r="Q100" s="30"/>
      <c r="R100" s="30"/>
      <c r="S100" s="31"/>
    </row>
    <row r="101" customFormat="false" ht="13.8" hidden="false" customHeight="false" outlineLevel="0" collapsed="false">
      <c r="A101" s="14"/>
      <c r="B101" s="14"/>
      <c r="C101" s="14"/>
      <c r="D101" s="14"/>
      <c r="E101" s="32"/>
      <c r="G101" s="32"/>
      <c r="H101" s="14"/>
      <c r="L101" s="32"/>
      <c r="O101" s="33"/>
      <c r="P101" s="30"/>
      <c r="Q101" s="30"/>
      <c r="R101" s="30"/>
      <c r="S101" s="31"/>
    </row>
    <row r="102" customFormat="false" ht="13.8" hidden="false" customHeight="false" outlineLevel="0" collapsed="false">
      <c r="A102" s="14"/>
      <c r="B102" s="14"/>
      <c r="C102" s="14"/>
      <c r="D102" s="14"/>
      <c r="E102" s="32"/>
      <c r="G102" s="32"/>
      <c r="H102" s="14"/>
      <c r="L102" s="32"/>
      <c r="O102" s="33"/>
      <c r="P102" s="30"/>
      <c r="Q102" s="30"/>
      <c r="R102" s="30"/>
      <c r="S102" s="31"/>
    </row>
    <row r="103" customFormat="false" ht="13.8" hidden="false" customHeight="false" outlineLevel="0" collapsed="false">
      <c r="A103" s="14"/>
      <c r="B103" s="14"/>
      <c r="C103" s="14"/>
      <c r="D103" s="14"/>
      <c r="E103" s="32"/>
      <c r="G103" s="32"/>
      <c r="H103" s="14"/>
      <c r="L103" s="32"/>
      <c r="O103" s="33"/>
      <c r="P103" s="30"/>
      <c r="Q103" s="30"/>
      <c r="R103" s="30"/>
      <c r="S103" s="31"/>
    </row>
    <row r="104" customFormat="false" ht="13.8" hidden="false" customHeight="false" outlineLevel="0" collapsed="false">
      <c r="A104" s="14"/>
      <c r="B104" s="14"/>
      <c r="C104" s="14"/>
      <c r="D104" s="14"/>
      <c r="E104" s="32"/>
      <c r="G104" s="32"/>
      <c r="H104" s="14"/>
      <c r="L104" s="32"/>
      <c r="O104" s="33"/>
      <c r="P104" s="30"/>
      <c r="Q104" s="30"/>
      <c r="R104" s="30"/>
      <c r="S104" s="31"/>
    </row>
    <row r="105" customFormat="false" ht="13.8" hidden="false" customHeight="false" outlineLevel="0" collapsed="false">
      <c r="A105" s="14"/>
      <c r="B105" s="14"/>
      <c r="C105" s="14"/>
      <c r="D105" s="14"/>
      <c r="E105" s="32"/>
      <c r="G105" s="32"/>
      <c r="H105" s="14"/>
      <c r="L105" s="32"/>
      <c r="O105" s="33"/>
      <c r="P105" s="30"/>
      <c r="Q105" s="30"/>
      <c r="R105" s="30"/>
      <c r="S105" s="31"/>
    </row>
    <row r="106" customFormat="false" ht="13.8" hidden="false" customHeight="false" outlineLevel="0" collapsed="false">
      <c r="A106" s="14"/>
      <c r="B106" s="14"/>
      <c r="C106" s="14"/>
      <c r="D106" s="14"/>
      <c r="E106" s="32"/>
      <c r="G106" s="32"/>
      <c r="H106" s="14"/>
      <c r="L106" s="32"/>
      <c r="O106" s="33"/>
      <c r="P106" s="30"/>
      <c r="Q106" s="30"/>
      <c r="R106" s="30"/>
      <c r="S106" s="31"/>
    </row>
    <row r="107" customFormat="false" ht="13.8" hidden="false" customHeight="false" outlineLevel="0" collapsed="false">
      <c r="A107" s="14"/>
      <c r="B107" s="14"/>
      <c r="C107" s="14"/>
      <c r="D107" s="14"/>
      <c r="E107" s="32"/>
      <c r="G107" s="32"/>
      <c r="H107" s="14"/>
      <c r="L107" s="32"/>
      <c r="O107" s="33"/>
      <c r="P107" s="30"/>
      <c r="Q107" s="30"/>
      <c r="R107" s="30"/>
      <c r="S107" s="31"/>
    </row>
    <row r="108" customFormat="false" ht="13.8" hidden="false" customHeight="false" outlineLevel="0" collapsed="false">
      <c r="A108" s="14"/>
      <c r="B108" s="14"/>
      <c r="C108" s="14"/>
      <c r="D108" s="14"/>
      <c r="E108" s="32"/>
      <c r="G108" s="32"/>
      <c r="H108" s="14"/>
      <c r="L108" s="32"/>
      <c r="O108" s="33"/>
      <c r="P108" s="30"/>
      <c r="Q108" s="30"/>
      <c r="R108" s="30"/>
      <c r="S108" s="31"/>
    </row>
    <row r="109" customFormat="false" ht="13.8" hidden="false" customHeight="false" outlineLevel="0" collapsed="false">
      <c r="A109" s="14"/>
      <c r="B109" s="14"/>
      <c r="C109" s="14"/>
      <c r="D109" s="14"/>
      <c r="E109" s="32"/>
      <c r="G109" s="32"/>
      <c r="H109" s="14"/>
      <c r="L109" s="32"/>
      <c r="O109" s="33"/>
      <c r="P109" s="30"/>
      <c r="Q109" s="30"/>
      <c r="R109" s="30"/>
      <c r="S109" s="31"/>
    </row>
    <row r="110" customFormat="false" ht="13.8" hidden="false" customHeight="false" outlineLevel="0" collapsed="false">
      <c r="A110" s="14"/>
      <c r="B110" s="14"/>
      <c r="C110" s="14"/>
      <c r="D110" s="14"/>
      <c r="E110" s="32"/>
      <c r="G110" s="32"/>
      <c r="H110" s="14"/>
      <c r="L110" s="32"/>
      <c r="O110" s="33"/>
      <c r="P110" s="30"/>
      <c r="Q110" s="30"/>
      <c r="R110" s="30"/>
      <c r="S110" s="31"/>
    </row>
    <row r="111" customFormat="false" ht="13.8" hidden="false" customHeight="false" outlineLevel="0" collapsed="false">
      <c r="A111" s="14"/>
      <c r="B111" s="14"/>
      <c r="C111" s="14"/>
      <c r="D111" s="14"/>
      <c r="E111" s="32"/>
      <c r="G111" s="32"/>
      <c r="H111" s="14"/>
      <c r="L111" s="32"/>
      <c r="O111" s="33"/>
      <c r="P111" s="30"/>
      <c r="Q111" s="30"/>
      <c r="R111" s="30"/>
      <c r="S111" s="31"/>
    </row>
    <row r="112" customFormat="false" ht="13.8" hidden="false" customHeight="false" outlineLevel="0" collapsed="false">
      <c r="A112" s="14"/>
      <c r="B112" s="14"/>
      <c r="C112" s="14"/>
      <c r="D112" s="14"/>
      <c r="E112" s="32"/>
      <c r="G112" s="32"/>
      <c r="H112" s="14"/>
      <c r="L112" s="32"/>
      <c r="O112" s="33"/>
      <c r="P112" s="30"/>
      <c r="Q112" s="30"/>
      <c r="R112" s="30"/>
      <c r="S112" s="31"/>
    </row>
    <row r="113" customFormat="false" ht="13.8" hidden="false" customHeight="false" outlineLevel="0" collapsed="false">
      <c r="A113" s="14"/>
      <c r="B113" s="14"/>
      <c r="C113" s="14"/>
      <c r="D113" s="14"/>
      <c r="E113" s="32"/>
      <c r="G113" s="32"/>
      <c r="H113" s="14"/>
      <c r="L113" s="32"/>
      <c r="O113" s="34"/>
      <c r="P113" s="35"/>
      <c r="Q113" s="35"/>
      <c r="R113" s="35"/>
      <c r="S113" s="36"/>
    </row>
    <row r="114" customFormat="false" ht="13.8" hidden="false" customHeight="false" outlineLevel="0" collapsed="false">
      <c r="A114" s="14"/>
      <c r="B114" s="14"/>
      <c r="C114" s="14"/>
      <c r="D114" s="14"/>
      <c r="E114" s="32"/>
      <c r="G114" s="32"/>
      <c r="H114" s="14"/>
      <c r="I114" s="14"/>
      <c r="J114" s="14"/>
      <c r="K114" s="14"/>
      <c r="L114" s="32"/>
    </row>
    <row r="115" customFormat="false" ht="13.8" hidden="false" customHeight="false" outlineLevel="0" collapsed="false"/>
    <row r="116" customFormat="false" ht="13.8" hidden="false" customHeight="false" outlineLevel="0" collapsed="false">
      <c r="C116" s="18"/>
      <c r="D116" s="18"/>
      <c r="E116" s="19"/>
      <c r="L116" s="19"/>
    </row>
    <row r="117" customFormat="false" ht="13.8" hidden="false" customHeight="false" outlineLevel="0" collapsed="false">
      <c r="C117" s="11"/>
      <c r="D117" s="11"/>
      <c r="E117" s="11"/>
      <c r="L117" s="11"/>
    </row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</sheetData>
  <mergeCells count="6">
    <mergeCell ref="A1:E2"/>
    <mergeCell ref="G1:K2"/>
    <mergeCell ref="M1:Q2"/>
    <mergeCell ref="A63:E64"/>
    <mergeCell ref="H63:L64"/>
    <mergeCell ref="O63:S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23"/>
  <sheetViews>
    <sheetView showFormulas="false" showGridLines="true" showRowColHeaders="true" showZeros="true" rightToLeft="false" tabSelected="true" showOutlineSymbols="true" defaultGridColor="true" view="normal" topLeftCell="A23" colorId="64" zoomScale="65" zoomScaleNormal="65" zoomScalePageLayoutView="100" workbookViewId="0">
      <selection pane="topLeft" activeCell="L122" activeCellId="0" sqref="L12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5" min="5" style="0" width="9.7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34.14"/>
    <col collapsed="false" customWidth="true" hidden="false" outlineLevel="0" max="10" min="10" style="0" width="61.14"/>
    <col collapsed="false" customWidth="true" hidden="false" outlineLevel="0" max="11" min="11" style="0" width="65.86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21" width="13.71"/>
    <col collapsed="false" customWidth="true" hidden="false" outlineLevel="0" max="17" min="17" style="21" width="14.57"/>
    <col collapsed="false" customWidth="true" hidden="false" outlineLevel="0" max="18" min="18" style="21" width="9.14"/>
    <col collapsed="false" customWidth="true" hidden="false" outlineLevel="0" max="19" min="19" style="0" width="16.57"/>
    <col collapsed="false" customWidth="true" hidden="false" outlineLevel="0" max="25" min="25" style="0" width="114.71"/>
    <col collapsed="false" customWidth="true" hidden="false" outlineLevel="0" max="27" min="27" style="0" width="18.85"/>
    <col collapsed="false" customWidth="true" hidden="false" outlineLevel="0" max="28" min="28" style="0" width="1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19</v>
      </c>
      <c r="N1" s="1"/>
      <c r="O1" s="1"/>
      <c r="P1" s="1"/>
      <c r="Q1" s="1"/>
    </row>
    <row r="2" customFormat="false" ht="15.75" hidden="false" customHeight="false" outlineLevel="0" collapsed="false">
      <c r="A2" s="1"/>
      <c r="B2" s="1"/>
      <c r="C2" s="1"/>
      <c r="D2" s="1"/>
      <c r="E2" s="1"/>
      <c r="G2" s="1"/>
      <c r="H2" s="1"/>
      <c r="I2" s="1"/>
      <c r="J2" s="1"/>
      <c r="K2" s="1"/>
      <c r="M2" s="1"/>
      <c r="N2" s="1"/>
      <c r="O2" s="1"/>
      <c r="P2" s="1"/>
      <c r="Q2" s="1"/>
      <c r="X2" s="1" t="s">
        <v>98</v>
      </c>
      <c r="Y2" s="1"/>
      <c r="Z2" s="1"/>
      <c r="AA2" s="1"/>
      <c r="AB2" s="1"/>
    </row>
    <row r="3" customFormat="false" ht="15.75" hidden="false" customHeight="false" outlineLevel="0" collapsed="false">
      <c r="A3" s="2" t="s">
        <v>3</v>
      </c>
      <c r="B3" s="3" t="s">
        <v>4</v>
      </c>
      <c r="C3" s="4" t="s">
        <v>5</v>
      </c>
      <c r="D3" s="4" t="s">
        <v>6</v>
      </c>
      <c r="E3" s="5" t="s">
        <v>7</v>
      </c>
      <c r="G3" s="6" t="s">
        <v>3</v>
      </c>
      <c r="H3" s="7" t="s">
        <v>4</v>
      </c>
      <c r="I3" s="8" t="s">
        <v>5</v>
      </c>
      <c r="J3" s="8" t="s">
        <v>6</v>
      </c>
      <c r="K3" s="9" t="s">
        <v>7</v>
      </c>
      <c r="M3" s="2" t="s">
        <v>3</v>
      </c>
      <c r="N3" s="3" t="s">
        <v>4</v>
      </c>
      <c r="O3" s="4" t="s">
        <v>5</v>
      </c>
      <c r="P3" s="4" t="s">
        <v>6</v>
      </c>
      <c r="Q3" s="5" t="s">
        <v>7</v>
      </c>
      <c r="X3" s="1"/>
      <c r="Y3" s="1"/>
      <c r="Z3" s="1"/>
      <c r="AA3" s="1"/>
      <c r="AB3" s="1"/>
    </row>
    <row r="4" customFormat="false" ht="15.75" hidden="false" customHeight="false" outlineLevel="0" collapsed="false">
      <c r="A4" s="10" t="n">
        <v>45840</v>
      </c>
      <c r="B4" s="11" t="s">
        <v>99</v>
      </c>
      <c r="C4" s="11"/>
      <c r="D4" s="11" t="n">
        <v>0.6</v>
      </c>
      <c r="E4" s="11" t="n">
        <f aca="false">SUM(C4-D4)</f>
        <v>-0.6</v>
      </c>
      <c r="G4" s="12" t="n">
        <v>45840</v>
      </c>
      <c r="H4" s="13" t="s">
        <v>100</v>
      </c>
      <c r="I4" s="13"/>
      <c r="J4" s="13" t="n">
        <v>11.7</v>
      </c>
      <c r="K4" s="13" t="n">
        <f aca="false">SUM(I4-J4)</f>
        <v>-11.7</v>
      </c>
      <c r="M4" s="10" t="n">
        <v>45845</v>
      </c>
      <c r="N4" s="14" t="s">
        <v>101</v>
      </c>
      <c r="O4" s="14" t="n">
        <v>15</v>
      </c>
      <c r="P4" s="11"/>
      <c r="Q4" s="11" t="n">
        <f aca="false">SUM(I5-P4)</f>
        <v>15</v>
      </c>
      <c r="X4" s="2" t="s">
        <v>3</v>
      </c>
      <c r="Y4" s="3" t="s">
        <v>102</v>
      </c>
      <c r="Z4" s="3" t="s">
        <v>103</v>
      </c>
      <c r="AA4" s="3" t="s">
        <v>104</v>
      </c>
      <c r="AB4" s="3" t="s">
        <v>105</v>
      </c>
      <c r="AC4" s="3" t="s">
        <v>106</v>
      </c>
      <c r="AD4" s="5"/>
    </row>
    <row r="5" customFormat="false" ht="15.75" hidden="false" customHeight="false" outlineLevel="0" collapsed="false">
      <c r="A5" s="10" t="n">
        <v>45847</v>
      </c>
      <c r="B5" s="11" t="s">
        <v>99</v>
      </c>
      <c r="C5" s="14"/>
      <c r="D5" s="14" t="n">
        <v>1.4</v>
      </c>
      <c r="E5" s="11" t="n">
        <f aca="false">SUM(C5-D5)</f>
        <v>-1.4</v>
      </c>
      <c r="G5" s="10" t="n">
        <v>45841</v>
      </c>
      <c r="H5" s="11" t="s">
        <v>107</v>
      </c>
      <c r="I5" s="11" t="n">
        <v>15</v>
      </c>
      <c r="J5" s="15"/>
      <c r="K5" s="13" t="n">
        <f aca="false">SUM(I5-J5)</f>
        <v>15</v>
      </c>
      <c r="M5" s="10" t="n">
        <v>45846</v>
      </c>
      <c r="N5" s="14" t="s">
        <v>108</v>
      </c>
      <c r="O5" s="14"/>
      <c r="P5" s="14" t="n">
        <v>10</v>
      </c>
      <c r="Q5" s="11" t="n">
        <f aca="false">SUM(O5-P5)</f>
        <v>-10</v>
      </c>
      <c r="X5" s="26" t="n">
        <v>45841</v>
      </c>
      <c r="Y5" s="27" t="s">
        <v>109</v>
      </c>
      <c r="Z5" s="27"/>
      <c r="AA5" s="27"/>
      <c r="AB5" s="28"/>
    </row>
    <row r="6" customFormat="false" ht="15.75" hidden="false" customHeight="false" outlineLevel="0" collapsed="false">
      <c r="A6" s="10" t="n">
        <v>45848</v>
      </c>
      <c r="B6" s="11" t="s">
        <v>99</v>
      </c>
      <c r="C6" s="14"/>
      <c r="D6" s="14" t="n">
        <v>0.2</v>
      </c>
      <c r="E6" s="11" t="n">
        <f aca="false">SUM(C6-D6)</f>
        <v>-0.2</v>
      </c>
      <c r="G6" s="12" t="n">
        <v>45842</v>
      </c>
      <c r="H6" s="15" t="s">
        <v>110</v>
      </c>
      <c r="I6" s="15"/>
      <c r="J6" s="15" t="n">
        <v>11</v>
      </c>
      <c r="K6" s="13" t="n">
        <f aca="false">SUM(I6-J6)</f>
        <v>-11</v>
      </c>
      <c r="M6" s="10" t="n">
        <v>45847</v>
      </c>
      <c r="N6" s="14" t="s">
        <v>111</v>
      </c>
      <c r="O6" s="14" t="n">
        <v>10</v>
      </c>
      <c r="P6" s="14"/>
      <c r="Q6" s="11" t="n">
        <f aca="false">SUM(O6-P6)</f>
        <v>10</v>
      </c>
      <c r="X6" s="26" t="n">
        <v>45844</v>
      </c>
      <c r="Y6" s="30"/>
      <c r="Z6" s="30"/>
      <c r="AA6" s="30" t="s">
        <v>109</v>
      </c>
      <c r="AB6" s="31"/>
    </row>
    <row r="7" customFormat="false" ht="15.75" hidden="false" customHeight="false" outlineLevel="0" collapsed="false">
      <c r="A7" s="16" t="n">
        <v>45855</v>
      </c>
      <c r="B7" s="14" t="s">
        <v>112</v>
      </c>
      <c r="C7" s="14"/>
      <c r="D7" s="14" t="n">
        <v>5</v>
      </c>
      <c r="E7" s="11" t="n">
        <f aca="false">SUM(C7-D7)</f>
        <v>-5</v>
      </c>
      <c r="G7" s="12" t="n">
        <v>45842</v>
      </c>
      <c r="H7" s="15" t="s">
        <v>84</v>
      </c>
      <c r="I7" s="15"/>
      <c r="J7" s="15" t="n">
        <v>20</v>
      </c>
      <c r="K7" s="13" t="n">
        <f aca="false">SUM(I7-J7)</f>
        <v>-20</v>
      </c>
      <c r="M7" s="16" t="n">
        <v>45847</v>
      </c>
      <c r="N7" s="14" t="s">
        <v>113</v>
      </c>
      <c r="O7" s="14" t="n">
        <v>30</v>
      </c>
      <c r="P7" s="14"/>
      <c r="Q7" s="11" t="n">
        <f aca="false">SUM(O7-P7)</f>
        <v>30</v>
      </c>
      <c r="X7" s="26" t="n">
        <v>45846</v>
      </c>
      <c r="Y7" s="30" t="s">
        <v>109</v>
      </c>
      <c r="Z7" s="30"/>
      <c r="AA7" s="30"/>
      <c r="AB7" s="31"/>
    </row>
    <row r="8" customFormat="false" ht="15.75" hidden="false" customHeight="false" outlineLevel="0" collapsed="false">
      <c r="A8" s="16"/>
      <c r="B8" s="14"/>
      <c r="C8" s="14"/>
      <c r="D8" s="14"/>
      <c r="E8" s="11" t="n">
        <f aca="false">SUM(C8-D8)</f>
        <v>0</v>
      </c>
      <c r="G8" s="17" t="n">
        <v>45844</v>
      </c>
      <c r="H8" s="15" t="s">
        <v>114</v>
      </c>
      <c r="I8" s="15"/>
      <c r="J8" s="15" t="n">
        <v>15</v>
      </c>
      <c r="K8" s="13" t="n">
        <f aca="false">SUM(I8-J8)</f>
        <v>-15</v>
      </c>
      <c r="M8" s="16" t="n">
        <v>45848</v>
      </c>
      <c r="N8" s="14" t="s">
        <v>111</v>
      </c>
      <c r="O8" s="14"/>
      <c r="P8" s="14" t="n">
        <v>10</v>
      </c>
      <c r="Q8" s="11" t="n">
        <f aca="false">SUM(O8-P8)</f>
        <v>-10</v>
      </c>
      <c r="X8" s="26" t="n">
        <v>45848</v>
      </c>
      <c r="Y8" s="30"/>
      <c r="Z8" s="30"/>
      <c r="AA8" s="30" t="s">
        <v>109</v>
      </c>
      <c r="AB8" s="31"/>
    </row>
    <row r="9" customFormat="false" ht="15.75" hidden="false" customHeight="false" outlineLevel="0" collapsed="false">
      <c r="A9" s="16"/>
      <c r="B9" s="14"/>
      <c r="C9" s="14"/>
      <c r="D9" s="14"/>
      <c r="E9" s="11" t="n">
        <f aca="false">SUM(C9-D9)</f>
        <v>0</v>
      </c>
      <c r="G9" s="17" t="n">
        <v>45846</v>
      </c>
      <c r="H9" s="15" t="s">
        <v>115</v>
      </c>
      <c r="I9" s="15"/>
      <c r="J9" s="15" t="n">
        <v>5</v>
      </c>
      <c r="K9" s="13" t="n">
        <f aca="false">SUM(I9-J9)</f>
        <v>-5</v>
      </c>
      <c r="M9" s="16" t="n">
        <v>45848</v>
      </c>
      <c r="N9" s="14" t="s">
        <v>111</v>
      </c>
      <c r="O9" s="14"/>
      <c r="P9" s="14" t="n">
        <v>10</v>
      </c>
      <c r="Q9" s="11" t="n">
        <f aca="false">SUM(O9-P9)</f>
        <v>-10</v>
      </c>
      <c r="X9" s="26" t="n">
        <v>45850</v>
      </c>
      <c r="Y9" s="30"/>
      <c r="Z9" s="30"/>
      <c r="AA9" s="30"/>
      <c r="AB9" s="31"/>
      <c r="AC9" s="0" t="s">
        <v>109</v>
      </c>
    </row>
    <row r="10" customFormat="false" ht="15.75" hidden="false" customHeight="false" outlineLevel="0" collapsed="false">
      <c r="A10" s="16"/>
      <c r="B10" s="14"/>
      <c r="C10" s="14"/>
      <c r="D10" s="14"/>
      <c r="E10" s="11" t="n">
        <f aca="false">SUM(C10-D10)</f>
        <v>0</v>
      </c>
      <c r="G10" s="17" t="n">
        <v>45848</v>
      </c>
      <c r="H10" s="15" t="s">
        <v>110</v>
      </c>
      <c r="I10" s="15"/>
      <c r="J10" s="15" t="n">
        <v>7.5</v>
      </c>
      <c r="K10" s="13" t="n">
        <f aca="false">SUM(I10-J10)</f>
        <v>-7.5</v>
      </c>
      <c r="M10" s="16" t="n">
        <v>45851</v>
      </c>
      <c r="N10" s="14" t="s">
        <v>116</v>
      </c>
      <c r="O10" s="14"/>
      <c r="P10" s="14" t="n">
        <v>347.1</v>
      </c>
      <c r="Q10" s="11" t="n">
        <f aca="false">SUM(O10-P10)</f>
        <v>-347.1</v>
      </c>
      <c r="X10" s="26" t="n">
        <v>45851</v>
      </c>
      <c r="Y10" s="30"/>
      <c r="Z10" s="30"/>
      <c r="AA10" s="30"/>
      <c r="AB10" s="31" t="s">
        <v>109</v>
      </c>
    </row>
    <row r="11" customFormat="false" ht="15.75" hidden="false" customHeight="false" outlineLevel="0" collapsed="false">
      <c r="A11" s="14"/>
      <c r="B11" s="14"/>
      <c r="C11" s="14"/>
      <c r="D11" s="14"/>
      <c r="E11" s="11" t="n">
        <f aca="false">SUM(C11-D11)</f>
        <v>0</v>
      </c>
      <c r="G11" s="17" t="n">
        <v>45849</v>
      </c>
      <c r="H11" s="15" t="s">
        <v>117</v>
      </c>
      <c r="I11" s="15"/>
      <c r="J11" s="15" t="n">
        <v>8</v>
      </c>
      <c r="K11" s="13" t="n">
        <f aca="false">SUM(I11-J11)</f>
        <v>-8</v>
      </c>
      <c r="M11" s="16" t="n">
        <v>45851</v>
      </c>
      <c r="N11" s="14" t="s">
        <v>118</v>
      </c>
      <c r="O11" s="14" t="n">
        <v>20</v>
      </c>
      <c r="P11" s="14"/>
      <c r="Q11" s="11" t="n">
        <f aca="false">SUM(O11-P11)</f>
        <v>20</v>
      </c>
      <c r="X11" s="26" t="n">
        <v>45853</v>
      </c>
      <c r="Y11" s="30"/>
      <c r="Z11" s="30"/>
      <c r="AA11" s="30"/>
      <c r="AB11" s="31" t="s">
        <v>109</v>
      </c>
    </row>
    <row r="12" customFormat="false" ht="15.75" hidden="false" customHeight="false" outlineLevel="0" collapsed="false">
      <c r="A12" s="14"/>
      <c r="B12" s="14"/>
      <c r="C12" s="14"/>
      <c r="D12" s="14"/>
      <c r="E12" s="11" t="n">
        <f aca="false">SUM(C12-D12)</f>
        <v>0</v>
      </c>
      <c r="G12" s="17" t="n">
        <v>45850</v>
      </c>
      <c r="H12" s="15" t="s">
        <v>78</v>
      </c>
      <c r="I12" s="15" t="n">
        <v>100</v>
      </c>
      <c r="J12" s="15"/>
      <c r="K12" s="13" t="n">
        <f aca="false">SUM(I12-J12)</f>
        <v>100</v>
      </c>
      <c r="M12" s="16" t="n">
        <v>45852</v>
      </c>
      <c r="N12" s="14" t="s">
        <v>119</v>
      </c>
      <c r="O12" s="14"/>
      <c r="P12" s="14" t="n">
        <v>250</v>
      </c>
      <c r="Q12" s="11" t="n">
        <f aca="false">SUM(O12-P12)</f>
        <v>-250</v>
      </c>
      <c r="X12" s="26" t="n">
        <v>45857</v>
      </c>
      <c r="Y12" s="30"/>
      <c r="Z12" s="30"/>
      <c r="AA12" s="30" t="s">
        <v>109</v>
      </c>
      <c r="AB12" s="31"/>
    </row>
    <row r="13" customFormat="false" ht="15.75" hidden="false" customHeight="false" outlineLevel="0" collapsed="false">
      <c r="A13" s="14"/>
      <c r="B13" s="14"/>
      <c r="C13" s="14"/>
      <c r="D13" s="14"/>
      <c r="E13" s="11" t="n">
        <f aca="false">SUM(C13-D13)</f>
        <v>0</v>
      </c>
      <c r="G13" s="17" t="n">
        <v>45852</v>
      </c>
      <c r="H13" s="15" t="s">
        <v>120</v>
      </c>
      <c r="I13" s="15"/>
      <c r="J13" s="37" t="n">
        <v>40</v>
      </c>
      <c r="K13" s="13" t="n">
        <f aca="false">SUM(I13-J13)</f>
        <v>-40</v>
      </c>
      <c r="M13" s="16" t="n">
        <v>45853</v>
      </c>
      <c r="N13" s="14" t="s">
        <v>113</v>
      </c>
      <c r="O13" s="14" t="n">
        <v>30</v>
      </c>
      <c r="P13" s="14"/>
      <c r="Q13" s="11" t="n">
        <f aca="false">SUM(O13-P13)</f>
        <v>30</v>
      </c>
      <c r="X13" s="26" t="n">
        <v>45859</v>
      </c>
      <c r="Y13" s="30"/>
      <c r="Z13" s="30"/>
      <c r="AA13" s="30"/>
      <c r="AB13" s="31"/>
      <c r="AC13" s="0" t="s">
        <v>109</v>
      </c>
    </row>
    <row r="14" customFormat="false" ht="15.75" hidden="false" customHeight="false" outlineLevel="0" collapsed="false">
      <c r="A14" s="14"/>
      <c r="B14" s="14"/>
      <c r="C14" s="14"/>
      <c r="D14" s="14"/>
      <c r="E14" s="11" t="n">
        <f aca="false">SUM(C14-D14)</f>
        <v>0</v>
      </c>
      <c r="G14" s="17" t="n">
        <v>45852</v>
      </c>
      <c r="H14" s="15" t="n">
        <v>730</v>
      </c>
      <c r="I14" s="15"/>
      <c r="J14" s="37" t="n">
        <v>938</v>
      </c>
      <c r="K14" s="13" t="n">
        <f aca="false">SUM(I14-J14)</f>
        <v>-938</v>
      </c>
      <c r="M14" s="16" t="n">
        <v>45853</v>
      </c>
      <c r="N14" s="14" t="s">
        <v>121</v>
      </c>
      <c r="O14" s="14" t="n">
        <v>5</v>
      </c>
      <c r="P14" s="14"/>
      <c r="Q14" s="11" t="n">
        <f aca="false">SUM(O14-P14)</f>
        <v>5</v>
      </c>
      <c r="X14" s="26" t="n">
        <v>45862</v>
      </c>
      <c r="Y14" s="30"/>
      <c r="Z14" s="30"/>
      <c r="AA14" s="30"/>
      <c r="AB14" s="31" t="s">
        <v>109</v>
      </c>
    </row>
    <row r="15" customFormat="false" ht="15.75" hidden="false" customHeight="false" outlineLevel="0" collapsed="false">
      <c r="A15" s="14"/>
      <c r="B15" s="14"/>
      <c r="C15" s="14"/>
      <c r="D15" s="14"/>
      <c r="E15" s="11" t="n">
        <f aca="false">SUM(C15-D15)</f>
        <v>0</v>
      </c>
      <c r="G15" s="17" t="n">
        <v>45855</v>
      </c>
      <c r="H15" s="15" t="s">
        <v>122</v>
      </c>
      <c r="I15" s="15"/>
      <c r="J15" s="15" t="n">
        <v>3</v>
      </c>
      <c r="K15" s="13" t="n">
        <f aca="false">SUM(I15-J15)</f>
        <v>-3</v>
      </c>
      <c r="M15" s="16" t="n">
        <v>45853</v>
      </c>
      <c r="N15" s="14" t="s">
        <v>123</v>
      </c>
      <c r="O15" s="14"/>
      <c r="P15" s="14" t="n">
        <v>20</v>
      </c>
      <c r="Q15" s="11" t="n">
        <f aca="false">SUM(O15-P15)</f>
        <v>-20</v>
      </c>
      <c r="X15" s="26"/>
      <c r="Y15" s="30"/>
      <c r="Z15" s="30"/>
      <c r="AA15" s="30"/>
      <c r="AB15" s="31"/>
    </row>
    <row r="16" customFormat="false" ht="15.75" hidden="false" customHeight="false" outlineLevel="0" collapsed="false">
      <c r="A16" s="14"/>
      <c r="B16" s="14"/>
      <c r="C16" s="14"/>
      <c r="D16" s="14"/>
      <c r="E16" s="11" t="n">
        <f aca="false">SUM(C16-D16)</f>
        <v>0</v>
      </c>
      <c r="G16" s="17" t="n">
        <v>45855</v>
      </c>
      <c r="H16" s="15" t="s">
        <v>42</v>
      </c>
      <c r="I16" s="15"/>
      <c r="J16" s="15" t="n">
        <v>1</v>
      </c>
      <c r="K16" s="13" t="n">
        <f aca="false">SUM(I16-J16)</f>
        <v>-1</v>
      </c>
      <c r="M16" s="16" t="n">
        <v>45855</v>
      </c>
      <c r="N16" s="14" t="s">
        <v>124</v>
      </c>
      <c r="O16" s="14"/>
      <c r="P16" s="14" t="n">
        <v>15</v>
      </c>
      <c r="Q16" s="11" t="n">
        <f aca="false">SUM(O16-P16)</f>
        <v>-15</v>
      </c>
      <c r="X16" s="26"/>
      <c r="Y16" s="30"/>
      <c r="Z16" s="30"/>
      <c r="AA16" s="30"/>
      <c r="AB16" s="31"/>
    </row>
    <row r="17" customFormat="false" ht="15.75" hidden="false" customHeight="false" outlineLevel="0" collapsed="false">
      <c r="A17" s="14"/>
      <c r="B17" s="14"/>
      <c r="C17" s="14"/>
      <c r="D17" s="14"/>
      <c r="E17" s="11" t="n">
        <f aca="false">SUM(C17-D17)</f>
        <v>0</v>
      </c>
      <c r="G17" s="17" t="n">
        <v>45856</v>
      </c>
      <c r="H17" s="15" t="s">
        <v>21</v>
      </c>
      <c r="I17" s="15"/>
      <c r="J17" s="15" t="n">
        <v>8</v>
      </c>
      <c r="K17" s="13" t="n">
        <f aca="false">SUM(I17-J17)</f>
        <v>-8</v>
      </c>
      <c r="M17" s="16" t="n">
        <v>45856</v>
      </c>
      <c r="N17" s="14" t="s">
        <v>125</v>
      </c>
      <c r="O17" s="14" t="n">
        <v>15</v>
      </c>
      <c r="P17" s="14"/>
      <c r="Q17" s="11" t="n">
        <f aca="false">SUM(O17-P17)</f>
        <v>15</v>
      </c>
      <c r="X17" s="26"/>
      <c r="Y17" s="30"/>
      <c r="Z17" s="30"/>
      <c r="AA17" s="30"/>
      <c r="AB17" s="31"/>
    </row>
    <row r="18" customFormat="false" ht="15.75" hidden="false" customHeight="false" outlineLevel="0" collapsed="false">
      <c r="A18" s="14"/>
      <c r="B18" s="14"/>
      <c r="C18" s="14"/>
      <c r="D18" s="14"/>
      <c r="E18" s="11"/>
      <c r="G18" s="17" t="n">
        <v>45857</v>
      </c>
      <c r="H18" s="15" t="s">
        <v>84</v>
      </c>
      <c r="I18" s="15"/>
      <c r="J18" s="15" t="n">
        <v>20</v>
      </c>
      <c r="K18" s="13" t="n">
        <f aca="false">SUM(I18-J18)</f>
        <v>-20</v>
      </c>
      <c r="M18" s="16" t="n">
        <v>45864</v>
      </c>
      <c r="N18" s="14" t="s">
        <v>126</v>
      </c>
      <c r="O18" s="14" t="n">
        <v>20</v>
      </c>
      <c r="P18" s="14"/>
      <c r="Q18" s="11" t="n">
        <f aca="false">SUM(O18-P18)</f>
        <v>20</v>
      </c>
      <c r="X18" s="26"/>
      <c r="Y18" s="30"/>
      <c r="Z18" s="30"/>
      <c r="AA18" s="30"/>
      <c r="AB18" s="31"/>
    </row>
    <row r="19" customFormat="false" ht="15.75" hidden="false" customHeight="false" outlineLevel="0" collapsed="false">
      <c r="A19" s="14"/>
      <c r="B19" s="14"/>
      <c r="C19" s="14"/>
      <c r="D19" s="14"/>
      <c r="E19" s="11"/>
      <c r="G19" s="17" t="n">
        <v>45857</v>
      </c>
      <c r="H19" s="15" t="s">
        <v>127</v>
      </c>
      <c r="I19" s="15"/>
      <c r="J19" s="15" t="n">
        <v>6.3</v>
      </c>
      <c r="K19" s="13" t="n">
        <f aca="false">SUM(I19-J19)</f>
        <v>-6.3</v>
      </c>
      <c r="M19" s="16"/>
      <c r="N19" s="14"/>
      <c r="O19" s="14"/>
      <c r="P19" s="14"/>
      <c r="Q19" s="11"/>
      <c r="X19" s="26"/>
      <c r="Y19" s="30"/>
      <c r="Z19" s="30"/>
      <c r="AA19" s="30"/>
      <c r="AB19" s="31"/>
    </row>
    <row r="20" customFormat="false" ht="15.75" hidden="false" customHeight="false" outlineLevel="0" collapsed="false">
      <c r="A20" s="14"/>
      <c r="B20" s="14"/>
      <c r="C20" s="14"/>
      <c r="D20" s="14"/>
      <c r="E20" s="11"/>
      <c r="G20" s="17" t="n">
        <v>45861</v>
      </c>
      <c r="H20" s="15" t="s">
        <v>128</v>
      </c>
      <c r="I20" s="15"/>
      <c r="J20" s="15" t="n">
        <v>0.89</v>
      </c>
      <c r="K20" s="13" t="n">
        <f aca="false">SUM(I20-J20)</f>
        <v>-0.89</v>
      </c>
      <c r="M20" s="16"/>
      <c r="N20" s="14"/>
      <c r="O20" s="14"/>
      <c r="P20" s="14"/>
      <c r="Q20" s="11"/>
      <c r="X20" s="26"/>
      <c r="Y20" s="30"/>
      <c r="Z20" s="30"/>
      <c r="AA20" s="30"/>
      <c r="AB20" s="31"/>
    </row>
    <row r="21" customFormat="false" ht="15.75" hidden="false" customHeight="false" outlineLevel="0" collapsed="false">
      <c r="A21" s="14"/>
      <c r="B21" s="14"/>
      <c r="C21" s="14"/>
      <c r="D21" s="14"/>
      <c r="E21" s="11"/>
      <c r="G21" s="17" t="n">
        <v>45861</v>
      </c>
      <c r="H21" s="15" t="s">
        <v>84</v>
      </c>
      <c r="I21" s="15"/>
      <c r="J21" s="15" t="n">
        <v>20</v>
      </c>
      <c r="K21" s="13" t="n">
        <f aca="false">SUM(I21-J21)</f>
        <v>-20</v>
      </c>
      <c r="M21" s="16"/>
      <c r="N21" s="14"/>
      <c r="O21" s="14"/>
      <c r="P21" s="14"/>
      <c r="Q21" s="11"/>
      <c r="X21" s="26"/>
      <c r="Y21" s="30"/>
      <c r="Z21" s="30"/>
      <c r="AA21" s="30"/>
      <c r="AB21" s="31"/>
    </row>
    <row r="22" customFormat="false" ht="15.75" hidden="false" customHeight="false" outlineLevel="0" collapsed="false">
      <c r="A22" s="14"/>
      <c r="B22" s="14"/>
      <c r="C22" s="14"/>
      <c r="D22" s="14"/>
      <c r="E22" s="11"/>
      <c r="G22" s="17" t="n">
        <v>45861</v>
      </c>
      <c r="H22" s="15" t="s">
        <v>17</v>
      </c>
      <c r="I22" s="15"/>
      <c r="J22" s="15" t="n">
        <v>7</v>
      </c>
      <c r="K22" s="13" t="n">
        <f aca="false">SUM(I22-J22)</f>
        <v>-7</v>
      </c>
      <c r="M22" s="16"/>
      <c r="N22" s="14"/>
      <c r="O22" s="14"/>
      <c r="P22" s="14"/>
      <c r="Q22" s="11"/>
      <c r="X22" s="26"/>
      <c r="Y22" s="30"/>
      <c r="Z22" s="30"/>
      <c r="AA22" s="30"/>
      <c r="AB22" s="31"/>
    </row>
    <row r="23" customFormat="false" ht="15.75" hidden="false" customHeight="false" outlineLevel="0" collapsed="false">
      <c r="A23" s="14"/>
      <c r="B23" s="14"/>
      <c r="C23" s="14"/>
      <c r="D23" s="14"/>
      <c r="E23" s="11"/>
      <c r="G23" s="17" t="n">
        <v>45863</v>
      </c>
      <c r="H23" s="15" t="s">
        <v>86</v>
      </c>
      <c r="I23" s="15"/>
      <c r="J23" s="15" t="n">
        <v>2.5</v>
      </c>
      <c r="K23" s="13"/>
      <c r="M23" s="16"/>
      <c r="N23" s="14"/>
      <c r="O23" s="14"/>
      <c r="P23" s="14"/>
      <c r="Q23" s="11"/>
      <c r="X23" s="26"/>
      <c r="Y23" s="30"/>
      <c r="Z23" s="30"/>
      <c r="AA23" s="30"/>
      <c r="AB23" s="31"/>
    </row>
    <row r="24" customFormat="false" ht="15.75" hidden="false" customHeight="false" outlineLevel="0" collapsed="false">
      <c r="A24" s="14"/>
      <c r="B24" s="14"/>
      <c r="C24" s="14"/>
      <c r="D24" s="14"/>
      <c r="E24" s="11" t="n">
        <f aca="false">SUM(C24-D24)</f>
        <v>0</v>
      </c>
      <c r="K24" s="13" t="n">
        <f aca="false">SUM(I23-J23)</f>
        <v>-2.5</v>
      </c>
      <c r="M24" s="16"/>
      <c r="N24" s="14"/>
      <c r="O24" s="14"/>
      <c r="P24" s="14"/>
      <c r="Q24" s="11" t="n">
        <f aca="false">SUM(O24-P24)</f>
        <v>0</v>
      </c>
      <c r="X24" s="26"/>
      <c r="Y24" s="30"/>
      <c r="Z24" s="30"/>
      <c r="AA24" s="30"/>
      <c r="AB24" s="31"/>
    </row>
    <row r="25" customFormat="false" ht="15.75" hidden="false" customHeight="false" outlineLevel="0" collapsed="false">
      <c r="A25" s="14"/>
      <c r="B25" s="14"/>
      <c r="C25" s="14"/>
      <c r="D25" s="14"/>
      <c r="E25" s="11" t="n">
        <f aca="false">SUM(C25-D25)</f>
        <v>0</v>
      </c>
      <c r="G25" s="17"/>
      <c r="H25" s="15"/>
      <c r="I25" s="15"/>
      <c r="J25" s="15"/>
      <c r="K25" s="13" t="n">
        <f aca="false">SUM(I25-J25)</f>
        <v>0</v>
      </c>
      <c r="M25" s="14"/>
      <c r="N25" s="14"/>
      <c r="O25" s="14"/>
      <c r="P25" s="14"/>
      <c r="Q25" s="11" t="n">
        <f aca="false">SUM(O25-P25)</f>
        <v>0</v>
      </c>
      <c r="X25" s="26"/>
      <c r="Y25" s="30"/>
      <c r="Z25" s="30"/>
      <c r="AA25" s="30"/>
      <c r="AB25" s="31"/>
    </row>
    <row r="26" customFormat="false" ht="15.75" hidden="true" customHeight="false" outlineLevel="0" collapsed="false">
      <c r="A26" s="14"/>
      <c r="B26" s="14"/>
      <c r="C26" s="14"/>
      <c r="D26" s="14"/>
      <c r="E26" s="11" t="n">
        <f aca="false">SUM(C26-D26)</f>
        <v>0</v>
      </c>
      <c r="G26" s="17"/>
      <c r="H26" s="15"/>
      <c r="I26" s="15"/>
      <c r="J26" s="15"/>
      <c r="K26" s="13" t="n">
        <f aca="false">SUM(I26-J26)</f>
        <v>0</v>
      </c>
      <c r="M26" s="14"/>
      <c r="N26" s="14"/>
      <c r="O26" s="14"/>
      <c r="P26" s="14"/>
      <c r="Q26" s="11" t="n">
        <f aca="false">SUM(O26-P26)</f>
        <v>0</v>
      </c>
      <c r="X26" s="26" t="n">
        <v>45854</v>
      </c>
      <c r="Y26" s="30"/>
      <c r="Z26" s="30"/>
      <c r="AA26" s="30"/>
      <c r="AB26" s="31"/>
    </row>
    <row r="27" customFormat="false" ht="15.75" hidden="true" customHeight="false" outlineLevel="0" collapsed="false">
      <c r="A27" s="14"/>
      <c r="B27" s="14"/>
      <c r="C27" s="14"/>
      <c r="D27" s="14"/>
      <c r="E27" s="11" t="n">
        <f aca="false">SUM(C27-D27)</f>
        <v>0</v>
      </c>
      <c r="G27" s="17"/>
      <c r="H27" s="15"/>
      <c r="I27" s="15"/>
      <c r="J27" s="15"/>
      <c r="K27" s="13" t="n">
        <f aca="false">SUM(I27-J27)</f>
        <v>0</v>
      </c>
      <c r="M27" s="14"/>
      <c r="N27" s="14"/>
      <c r="O27" s="14"/>
      <c r="P27" s="14"/>
      <c r="Q27" s="11" t="n">
        <f aca="false">SUM(O27-P27)</f>
        <v>0</v>
      </c>
      <c r="X27" s="26" t="n">
        <v>45855</v>
      </c>
      <c r="Y27" s="30"/>
      <c r="Z27" s="30"/>
      <c r="AA27" s="30"/>
      <c r="AB27" s="31"/>
    </row>
    <row r="28" customFormat="false" ht="15.75" hidden="true" customHeight="false" outlineLevel="0" collapsed="false">
      <c r="A28" s="14"/>
      <c r="B28" s="14"/>
      <c r="C28" s="14"/>
      <c r="D28" s="14"/>
      <c r="E28" s="11" t="n">
        <f aca="false">SUM(C28-D28)</f>
        <v>0</v>
      </c>
      <c r="G28" s="14"/>
      <c r="H28" s="14"/>
      <c r="I28" s="14"/>
      <c r="J28" s="14"/>
      <c r="K28" s="11" t="n">
        <f aca="false">SUM(I28-J28)</f>
        <v>0</v>
      </c>
      <c r="M28" s="14"/>
      <c r="N28" s="14"/>
      <c r="O28" s="14"/>
      <c r="P28" s="14"/>
      <c r="Q28" s="11" t="n">
        <f aca="false">SUM(O28-P28)</f>
        <v>0</v>
      </c>
      <c r="X28" s="33"/>
      <c r="Y28" s="30"/>
      <c r="Z28" s="30"/>
      <c r="AA28" s="30"/>
      <c r="AB28" s="31"/>
    </row>
    <row r="29" customFormat="false" ht="15.75" hidden="true" customHeight="false" outlineLevel="0" collapsed="false">
      <c r="A29" s="14"/>
      <c r="B29" s="14"/>
      <c r="C29" s="14"/>
      <c r="D29" s="14"/>
      <c r="E29" s="11" t="n">
        <f aca="false">SUM(C29-D29)</f>
        <v>0</v>
      </c>
      <c r="G29" s="14"/>
      <c r="H29" s="14"/>
      <c r="I29" s="14"/>
      <c r="J29" s="14"/>
      <c r="K29" s="11" t="n">
        <f aca="false">SUM(I29-J29)</f>
        <v>0</v>
      </c>
      <c r="M29" s="14"/>
      <c r="N29" s="14"/>
      <c r="O29" s="14"/>
      <c r="P29" s="14"/>
      <c r="Q29" s="11" t="n">
        <f aca="false">SUM(O29-P29)</f>
        <v>0</v>
      </c>
      <c r="X29" s="33"/>
      <c r="Y29" s="30"/>
      <c r="Z29" s="30"/>
      <c r="AA29" s="30"/>
      <c r="AB29" s="31"/>
    </row>
    <row r="30" customFormat="false" ht="15.75" hidden="true" customHeight="false" outlineLevel="0" collapsed="false">
      <c r="A30" s="14"/>
      <c r="B30" s="14"/>
      <c r="C30" s="14"/>
      <c r="D30" s="14"/>
      <c r="E30" s="11" t="n">
        <f aca="false">SUM(C30-D30)</f>
        <v>0</v>
      </c>
      <c r="G30" s="14"/>
      <c r="H30" s="14"/>
      <c r="I30" s="14"/>
      <c r="J30" s="14"/>
      <c r="K30" s="11" t="n">
        <f aca="false">SUM(I30-J30)</f>
        <v>0</v>
      </c>
      <c r="M30" s="14"/>
      <c r="N30" s="14"/>
      <c r="O30" s="14"/>
      <c r="P30" s="14"/>
      <c r="Q30" s="11" t="n">
        <f aca="false">SUM(O30-P30)</f>
        <v>0</v>
      </c>
      <c r="X30" s="33"/>
      <c r="Y30" s="30"/>
      <c r="Z30" s="30"/>
      <c r="AA30" s="30"/>
      <c r="AB30" s="31"/>
    </row>
    <row r="31" customFormat="false" ht="15.75" hidden="true" customHeight="false" outlineLevel="0" collapsed="false">
      <c r="A31" s="14"/>
      <c r="B31" s="14"/>
      <c r="C31" s="14"/>
      <c r="D31" s="14"/>
      <c r="E31" s="11" t="n">
        <f aca="false">SUM(C31-D31)</f>
        <v>0</v>
      </c>
      <c r="G31" s="14"/>
      <c r="H31" s="14"/>
      <c r="I31" s="14"/>
      <c r="J31" s="14"/>
      <c r="K31" s="11" t="n">
        <f aca="false">SUM(I31-J31)</f>
        <v>0</v>
      </c>
      <c r="M31" s="14"/>
      <c r="N31" s="14"/>
      <c r="O31" s="14"/>
      <c r="P31" s="14"/>
      <c r="Q31" s="11" t="n">
        <f aca="false">SUM(O31-P31)</f>
        <v>0</v>
      </c>
      <c r="X31" s="33"/>
      <c r="Y31" s="30"/>
      <c r="Z31" s="30"/>
      <c r="AA31" s="30"/>
      <c r="AB31" s="31"/>
    </row>
    <row r="32" customFormat="false" ht="15.75" hidden="true" customHeight="false" outlineLevel="0" collapsed="false">
      <c r="A32" s="14"/>
      <c r="B32" s="14"/>
      <c r="C32" s="14"/>
      <c r="D32" s="14"/>
      <c r="E32" s="11" t="n">
        <f aca="false">SUM(C32-D32)</f>
        <v>0</v>
      </c>
      <c r="G32" s="14"/>
      <c r="H32" s="14"/>
      <c r="I32" s="14"/>
      <c r="J32" s="14"/>
      <c r="K32" s="11" t="n">
        <f aca="false">SUM(I32-J32)</f>
        <v>0</v>
      </c>
      <c r="M32" s="14"/>
      <c r="N32" s="14"/>
      <c r="O32" s="14"/>
      <c r="P32" s="14"/>
      <c r="Q32" s="11" t="n">
        <f aca="false">SUM(O32-P32)</f>
        <v>0</v>
      </c>
      <c r="X32" s="33"/>
      <c r="Y32" s="30"/>
      <c r="Z32" s="30"/>
      <c r="AA32" s="30"/>
      <c r="AB32" s="31"/>
    </row>
    <row r="33" customFormat="false" ht="15.75" hidden="true" customHeight="false" outlineLevel="0" collapsed="false">
      <c r="A33" s="14"/>
      <c r="B33" s="14"/>
      <c r="C33" s="14"/>
      <c r="D33" s="14"/>
      <c r="E33" s="11" t="n">
        <f aca="false">SUM(C33-D33)</f>
        <v>0</v>
      </c>
      <c r="G33" s="14"/>
      <c r="H33" s="14"/>
      <c r="I33" s="14"/>
      <c r="J33" s="14"/>
      <c r="K33" s="11" t="n">
        <f aca="false">SUM(I33-J33)</f>
        <v>0</v>
      </c>
      <c r="M33" s="14"/>
      <c r="N33" s="14"/>
      <c r="O33" s="14"/>
      <c r="P33" s="14"/>
      <c r="Q33" s="11" t="n">
        <f aca="false">SUM(O33-P33)</f>
        <v>0</v>
      </c>
      <c r="X33" s="33"/>
      <c r="Y33" s="30"/>
      <c r="Z33" s="30"/>
      <c r="AA33" s="30"/>
      <c r="AB33" s="31"/>
    </row>
    <row r="34" customFormat="false" ht="15.75" hidden="true" customHeight="false" outlineLevel="0" collapsed="false">
      <c r="A34" s="14"/>
      <c r="B34" s="14"/>
      <c r="C34" s="14"/>
      <c r="D34" s="14"/>
      <c r="E34" s="11" t="n">
        <f aca="false">SUM(C34-D34)</f>
        <v>0</v>
      </c>
      <c r="G34" s="14"/>
      <c r="H34" s="14"/>
      <c r="I34" s="14"/>
      <c r="J34" s="14"/>
      <c r="K34" s="11" t="n">
        <f aca="false">SUM(I34-J34)</f>
        <v>0</v>
      </c>
      <c r="M34" s="14"/>
      <c r="N34" s="14"/>
      <c r="O34" s="14"/>
      <c r="P34" s="14"/>
      <c r="Q34" s="11" t="n">
        <f aca="false">SUM(O34-P34)</f>
        <v>0</v>
      </c>
      <c r="X34" s="33"/>
      <c r="Y34" s="30"/>
      <c r="Z34" s="30"/>
      <c r="AA34" s="30"/>
      <c r="AB34" s="31"/>
    </row>
    <row r="35" customFormat="false" ht="15.75" hidden="true" customHeight="false" outlineLevel="0" collapsed="false">
      <c r="A35" s="14"/>
      <c r="B35" s="14"/>
      <c r="C35" s="14"/>
      <c r="D35" s="14"/>
      <c r="E35" s="11" t="n">
        <f aca="false">SUM(C35-D35)</f>
        <v>0</v>
      </c>
      <c r="G35" s="14"/>
      <c r="H35" s="14"/>
      <c r="I35" s="14"/>
      <c r="J35" s="14"/>
      <c r="K35" s="11" t="n">
        <f aca="false">SUM(I35-J35)</f>
        <v>0</v>
      </c>
      <c r="M35" s="14"/>
      <c r="N35" s="14"/>
      <c r="O35" s="14"/>
      <c r="P35" s="14"/>
      <c r="Q35" s="11" t="n">
        <f aca="false">SUM(O35-P35)</f>
        <v>0</v>
      </c>
      <c r="X35" s="33"/>
      <c r="Y35" s="30"/>
      <c r="Z35" s="30"/>
      <c r="AA35" s="30"/>
      <c r="AB35" s="31"/>
    </row>
    <row r="36" customFormat="false" ht="15.75" hidden="true" customHeight="false" outlineLevel="0" collapsed="false">
      <c r="A36" s="14"/>
      <c r="B36" s="14"/>
      <c r="C36" s="14"/>
      <c r="D36" s="14"/>
      <c r="E36" s="11" t="n">
        <f aca="false">SUM(C36-D36)</f>
        <v>0</v>
      </c>
      <c r="G36" s="14"/>
      <c r="H36" s="14"/>
      <c r="I36" s="14"/>
      <c r="J36" s="14"/>
      <c r="K36" s="11" t="n">
        <f aca="false">SUM(I36-J36)</f>
        <v>0</v>
      </c>
      <c r="M36" s="14"/>
      <c r="N36" s="14"/>
      <c r="O36" s="14"/>
      <c r="P36" s="14"/>
      <c r="Q36" s="11" t="n">
        <f aca="false">SUM(O36-P36)</f>
        <v>0</v>
      </c>
      <c r="X36" s="33"/>
      <c r="Y36" s="30"/>
      <c r="Z36" s="30"/>
      <c r="AA36" s="30"/>
      <c r="AB36" s="31"/>
    </row>
    <row r="37" customFormat="false" ht="15.75" hidden="true" customHeight="false" outlineLevel="0" collapsed="false">
      <c r="A37" s="14"/>
      <c r="B37" s="14"/>
      <c r="C37" s="14"/>
      <c r="D37" s="14"/>
      <c r="E37" s="11" t="n">
        <f aca="false">SUM(C37-D37)</f>
        <v>0</v>
      </c>
      <c r="G37" s="14"/>
      <c r="H37" s="14"/>
      <c r="I37" s="14"/>
      <c r="J37" s="14"/>
      <c r="K37" s="11" t="n">
        <f aca="false">SUM(I37-J37)</f>
        <v>0</v>
      </c>
      <c r="M37" s="14"/>
      <c r="N37" s="14"/>
      <c r="O37" s="14"/>
      <c r="P37" s="14"/>
      <c r="Q37" s="11" t="n">
        <f aca="false">SUM(O37-P37)</f>
        <v>0</v>
      </c>
      <c r="X37" s="33"/>
      <c r="Y37" s="30"/>
      <c r="Z37" s="30"/>
      <c r="AA37" s="30"/>
      <c r="AB37" s="31"/>
    </row>
    <row r="38" customFormat="false" ht="15.75" hidden="true" customHeight="false" outlineLevel="0" collapsed="false">
      <c r="A38" s="14"/>
      <c r="B38" s="14"/>
      <c r="C38" s="14"/>
      <c r="D38" s="14"/>
      <c r="E38" s="11" t="n">
        <f aca="false">SUM(C38-D38)</f>
        <v>0</v>
      </c>
      <c r="G38" s="14"/>
      <c r="H38" s="14"/>
      <c r="I38" s="14"/>
      <c r="J38" s="14"/>
      <c r="K38" s="11" t="n">
        <f aca="false">SUM(I38-J38)</f>
        <v>0</v>
      </c>
      <c r="M38" s="14"/>
      <c r="N38" s="14"/>
      <c r="O38" s="14"/>
      <c r="P38" s="14"/>
      <c r="Q38" s="11" t="n">
        <f aca="false">SUM(O38-P38)</f>
        <v>0</v>
      </c>
      <c r="X38" s="33"/>
      <c r="Y38" s="30"/>
      <c r="Z38" s="30"/>
      <c r="AA38" s="30"/>
      <c r="AB38" s="31"/>
    </row>
    <row r="39" customFormat="false" ht="15.75" hidden="true" customHeight="false" outlineLevel="0" collapsed="false">
      <c r="A39" s="14"/>
      <c r="B39" s="14"/>
      <c r="C39" s="14"/>
      <c r="D39" s="14"/>
      <c r="E39" s="11" t="n">
        <f aca="false">SUM(C39-D39)</f>
        <v>0</v>
      </c>
      <c r="G39" s="14"/>
      <c r="H39" s="14"/>
      <c r="I39" s="14"/>
      <c r="J39" s="14"/>
      <c r="K39" s="11" t="n">
        <f aca="false">SUM(I39-J39)</f>
        <v>0</v>
      </c>
      <c r="M39" s="14"/>
      <c r="N39" s="14"/>
      <c r="O39" s="14"/>
      <c r="P39" s="14"/>
      <c r="Q39" s="11" t="n">
        <f aca="false">SUM(O39-P39)</f>
        <v>0</v>
      </c>
      <c r="X39" s="33"/>
      <c r="Y39" s="30"/>
      <c r="Z39" s="30"/>
      <c r="AA39" s="30"/>
      <c r="AB39" s="31"/>
    </row>
    <row r="40" customFormat="false" ht="15.75" hidden="true" customHeight="false" outlineLevel="0" collapsed="false">
      <c r="A40" s="14"/>
      <c r="B40" s="14"/>
      <c r="C40" s="14"/>
      <c r="D40" s="14"/>
      <c r="E40" s="11" t="n">
        <f aca="false">SUM(C40-D40)</f>
        <v>0</v>
      </c>
      <c r="G40" s="14"/>
      <c r="H40" s="14"/>
      <c r="I40" s="14"/>
      <c r="J40" s="14"/>
      <c r="K40" s="11" t="n">
        <f aca="false">SUM(I40-J40)</f>
        <v>0</v>
      </c>
      <c r="M40" s="14"/>
      <c r="N40" s="14"/>
      <c r="O40" s="14"/>
      <c r="P40" s="14"/>
      <c r="Q40" s="11" t="n">
        <f aca="false">SUM(O40-P40)</f>
        <v>0</v>
      </c>
      <c r="X40" s="33"/>
      <c r="Y40" s="30"/>
      <c r="Z40" s="30"/>
      <c r="AA40" s="30"/>
      <c r="AB40" s="31"/>
    </row>
    <row r="41" customFormat="false" ht="15.75" hidden="true" customHeight="false" outlineLevel="0" collapsed="false">
      <c r="A41" s="14"/>
      <c r="B41" s="14"/>
      <c r="C41" s="14"/>
      <c r="D41" s="14"/>
      <c r="E41" s="11" t="n">
        <f aca="false">SUM(C41-D41)</f>
        <v>0</v>
      </c>
      <c r="G41" s="14"/>
      <c r="H41" s="14"/>
      <c r="I41" s="14"/>
      <c r="J41" s="14"/>
      <c r="K41" s="11" t="n">
        <f aca="false">SUM(I41-J41)</f>
        <v>0</v>
      </c>
      <c r="M41" s="14"/>
      <c r="N41" s="14"/>
      <c r="O41" s="14"/>
      <c r="P41" s="14"/>
      <c r="Q41" s="11" t="n">
        <f aca="false">SUM(O41-P41)</f>
        <v>0</v>
      </c>
      <c r="X41" s="33"/>
      <c r="Y41" s="30"/>
      <c r="Z41" s="30"/>
      <c r="AA41" s="30"/>
      <c r="AB41" s="31"/>
    </row>
    <row r="42" customFormat="false" ht="15.75" hidden="true" customHeight="false" outlineLevel="0" collapsed="false">
      <c r="A42" s="14"/>
      <c r="B42" s="14"/>
      <c r="C42" s="14"/>
      <c r="D42" s="14"/>
      <c r="E42" s="11" t="n">
        <f aca="false">SUM(C42-D42)</f>
        <v>0</v>
      </c>
      <c r="G42" s="14"/>
      <c r="H42" s="14"/>
      <c r="I42" s="14"/>
      <c r="J42" s="14"/>
      <c r="K42" s="11" t="n">
        <f aca="false">SUM(I42-J42)</f>
        <v>0</v>
      </c>
      <c r="M42" s="14"/>
      <c r="N42" s="14"/>
      <c r="O42" s="14"/>
      <c r="P42" s="14"/>
      <c r="Q42" s="11" t="n">
        <f aca="false">SUM(O42-P42)</f>
        <v>0</v>
      </c>
      <c r="X42" s="33"/>
      <c r="Y42" s="30"/>
      <c r="Z42" s="30"/>
      <c r="AA42" s="30"/>
      <c r="AB42" s="31"/>
    </row>
    <row r="43" customFormat="false" ht="15.75" hidden="true" customHeight="false" outlineLevel="0" collapsed="false">
      <c r="A43" s="14"/>
      <c r="B43" s="14"/>
      <c r="C43" s="14"/>
      <c r="D43" s="14"/>
      <c r="E43" s="11" t="n">
        <f aca="false">SUM(C43-D43)</f>
        <v>0</v>
      </c>
      <c r="G43" s="14"/>
      <c r="H43" s="14"/>
      <c r="I43" s="14"/>
      <c r="J43" s="14"/>
      <c r="K43" s="11" t="n">
        <f aca="false">SUM(I43-J43)</f>
        <v>0</v>
      </c>
      <c r="M43" s="14"/>
      <c r="N43" s="14"/>
      <c r="O43" s="14"/>
      <c r="P43" s="14"/>
      <c r="Q43" s="11" t="n">
        <f aca="false">SUM(O43-P43)</f>
        <v>0</v>
      </c>
      <c r="X43" s="33"/>
      <c r="Y43" s="30"/>
      <c r="Z43" s="30"/>
      <c r="AA43" s="30"/>
      <c r="AB43" s="31"/>
    </row>
    <row r="44" customFormat="false" ht="15.75" hidden="true" customHeight="false" outlineLevel="0" collapsed="false">
      <c r="A44" s="14"/>
      <c r="B44" s="14"/>
      <c r="C44" s="14"/>
      <c r="D44" s="14"/>
      <c r="E44" s="11" t="n">
        <f aca="false">SUM(C44-D44)</f>
        <v>0</v>
      </c>
      <c r="G44" s="14"/>
      <c r="H44" s="14"/>
      <c r="I44" s="14"/>
      <c r="J44" s="14"/>
      <c r="K44" s="11" t="n">
        <f aca="false">SUM(I44-J44)</f>
        <v>0</v>
      </c>
      <c r="M44" s="14"/>
      <c r="N44" s="14"/>
      <c r="O44" s="14"/>
      <c r="P44" s="14"/>
      <c r="Q44" s="11" t="n">
        <f aca="false">SUM(O44-P44)</f>
        <v>0</v>
      </c>
      <c r="X44" s="33"/>
      <c r="Y44" s="30"/>
      <c r="Z44" s="30"/>
      <c r="AA44" s="30"/>
      <c r="AB44" s="31"/>
    </row>
    <row r="45" customFormat="false" ht="15.75" hidden="true" customHeight="false" outlineLevel="0" collapsed="false">
      <c r="A45" s="14"/>
      <c r="B45" s="14"/>
      <c r="C45" s="14"/>
      <c r="D45" s="14"/>
      <c r="E45" s="11" t="n">
        <f aca="false">SUM(C45-D45)</f>
        <v>0</v>
      </c>
      <c r="G45" s="14"/>
      <c r="H45" s="14"/>
      <c r="I45" s="14"/>
      <c r="J45" s="14"/>
      <c r="K45" s="11" t="n">
        <f aca="false">SUM(I45-J45)</f>
        <v>0</v>
      </c>
      <c r="M45" s="14"/>
      <c r="N45" s="14"/>
      <c r="O45" s="14"/>
      <c r="P45" s="14"/>
      <c r="Q45" s="11" t="n">
        <f aca="false">SUM(O45-P45)</f>
        <v>0</v>
      </c>
      <c r="X45" s="33"/>
      <c r="Y45" s="30"/>
      <c r="Z45" s="30"/>
      <c r="AA45" s="30"/>
      <c r="AB45" s="31"/>
    </row>
    <row r="46" customFormat="false" ht="15.75" hidden="true" customHeight="false" outlineLevel="0" collapsed="false">
      <c r="A46" s="14"/>
      <c r="B46" s="14"/>
      <c r="C46" s="14"/>
      <c r="D46" s="14"/>
      <c r="E46" s="11" t="n">
        <f aca="false">SUM(C46-D46)</f>
        <v>0</v>
      </c>
      <c r="G46" s="14"/>
      <c r="H46" s="14"/>
      <c r="I46" s="14"/>
      <c r="J46" s="14"/>
      <c r="K46" s="11" t="n">
        <f aca="false">SUM(I46-J46)</f>
        <v>0</v>
      </c>
      <c r="M46" s="14"/>
      <c r="N46" s="14"/>
      <c r="O46" s="14"/>
      <c r="P46" s="14"/>
      <c r="Q46" s="11" t="n">
        <f aca="false">SUM(O46-P46)</f>
        <v>0</v>
      </c>
      <c r="X46" s="33"/>
      <c r="Y46" s="30"/>
      <c r="Z46" s="30"/>
      <c r="AA46" s="30"/>
      <c r="AB46" s="31"/>
    </row>
    <row r="47" customFormat="false" ht="15.75" hidden="true" customHeight="false" outlineLevel="0" collapsed="false">
      <c r="A47" s="14"/>
      <c r="B47" s="14"/>
      <c r="C47" s="14"/>
      <c r="D47" s="14"/>
      <c r="E47" s="11" t="n">
        <f aca="false">SUM(C47-D47)</f>
        <v>0</v>
      </c>
      <c r="G47" s="14"/>
      <c r="H47" s="14"/>
      <c r="I47" s="14"/>
      <c r="J47" s="14"/>
      <c r="K47" s="11" t="n">
        <f aca="false">SUM(I47-J47)</f>
        <v>0</v>
      </c>
      <c r="M47" s="14"/>
      <c r="N47" s="14"/>
      <c r="O47" s="14"/>
      <c r="P47" s="14"/>
      <c r="Q47" s="11" t="n">
        <f aca="false">SUM(O47-P47)</f>
        <v>0</v>
      </c>
      <c r="X47" s="33"/>
      <c r="Y47" s="30"/>
      <c r="Z47" s="30"/>
      <c r="AA47" s="30"/>
      <c r="AB47" s="31"/>
    </row>
    <row r="48" customFormat="false" ht="15.75" hidden="true" customHeight="false" outlineLevel="0" collapsed="false">
      <c r="A48" s="14"/>
      <c r="B48" s="14"/>
      <c r="C48" s="14"/>
      <c r="D48" s="14"/>
      <c r="E48" s="11" t="n">
        <f aca="false">SUM(C48-D48)</f>
        <v>0</v>
      </c>
      <c r="G48" s="14"/>
      <c r="H48" s="14"/>
      <c r="I48" s="14"/>
      <c r="J48" s="14"/>
      <c r="K48" s="11" t="n">
        <f aca="false">SUM(I48-J48)</f>
        <v>0</v>
      </c>
      <c r="M48" s="14"/>
      <c r="N48" s="14"/>
      <c r="O48" s="14"/>
      <c r="P48" s="14"/>
      <c r="Q48" s="11" t="n">
        <f aca="false">SUM(O48-P48)</f>
        <v>0</v>
      </c>
      <c r="X48" s="33"/>
      <c r="Y48" s="30"/>
      <c r="Z48" s="30"/>
      <c r="AA48" s="30"/>
      <c r="AB48" s="31"/>
    </row>
    <row r="49" customFormat="false" ht="15.75" hidden="true" customHeight="false" outlineLevel="0" collapsed="false">
      <c r="A49" s="14"/>
      <c r="B49" s="14"/>
      <c r="C49" s="14"/>
      <c r="D49" s="14"/>
      <c r="E49" s="11" t="n">
        <f aca="false">SUM(C49-D49)</f>
        <v>0</v>
      </c>
      <c r="G49" s="14"/>
      <c r="H49" s="14"/>
      <c r="I49" s="14"/>
      <c r="J49" s="14"/>
      <c r="K49" s="11" t="n">
        <f aca="false">SUM(I49-J49)</f>
        <v>0</v>
      </c>
      <c r="M49" s="14"/>
      <c r="N49" s="14"/>
      <c r="O49" s="14"/>
      <c r="P49" s="14"/>
      <c r="Q49" s="11" t="n">
        <f aca="false">SUM(O49-P49)</f>
        <v>0</v>
      </c>
      <c r="X49" s="33"/>
      <c r="Y49" s="30"/>
      <c r="Z49" s="30"/>
      <c r="AA49" s="30"/>
      <c r="AB49" s="31"/>
    </row>
    <row r="50" customFormat="false" ht="15.75" hidden="true" customHeight="false" outlineLevel="0" collapsed="false">
      <c r="A50" s="14"/>
      <c r="B50" s="14"/>
      <c r="C50" s="14"/>
      <c r="D50" s="14"/>
      <c r="E50" s="11" t="n">
        <f aca="false">SUM(C50-D50)</f>
        <v>0</v>
      </c>
      <c r="G50" s="14"/>
      <c r="H50" s="14"/>
      <c r="I50" s="14"/>
      <c r="J50" s="14"/>
      <c r="K50" s="11" t="n">
        <f aca="false">SUM(I50-J50)</f>
        <v>0</v>
      </c>
      <c r="M50" s="14"/>
      <c r="N50" s="14"/>
      <c r="O50" s="14"/>
      <c r="P50" s="14"/>
      <c r="Q50" s="11" t="n">
        <f aca="false">SUM(O50-P50)</f>
        <v>0</v>
      </c>
      <c r="X50" s="33"/>
      <c r="Y50" s="30"/>
      <c r="Z50" s="30"/>
      <c r="AA50" s="30"/>
      <c r="AB50" s="31"/>
    </row>
    <row r="51" customFormat="false" ht="15.75" hidden="true" customHeight="false" outlineLevel="0" collapsed="false">
      <c r="A51" s="14"/>
      <c r="B51" s="14"/>
      <c r="C51" s="14"/>
      <c r="D51" s="14"/>
      <c r="E51" s="11" t="n">
        <f aca="false">SUM(C51-D51)</f>
        <v>0</v>
      </c>
      <c r="G51" s="14"/>
      <c r="H51" s="14"/>
      <c r="I51" s="14"/>
      <c r="J51" s="14"/>
      <c r="K51" s="11" t="n">
        <f aca="false">SUM(I51-J51)</f>
        <v>0</v>
      </c>
      <c r="M51" s="14"/>
      <c r="N51" s="14"/>
      <c r="O51" s="14"/>
      <c r="P51" s="14"/>
      <c r="Q51" s="11" t="n">
        <f aca="false">SUM(O51-P51)</f>
        <v>0</v>
      </c>
      <c r="X51" s="33"/>
      <c r="Y51" s="30"/>
      <c r="Z51" s="30"/>
      <c r="AA51" s="30"/>
      <c r="AB51" s="31"/>
    </row>
    <row r="52" customFormat="false" ht="15.75" hidden="true" customHeight="false" outlineLevel="0" collapsed="false">
      <c r="A52" s="14"/>
      <c r="B52" s="14"/>
      <c r="C52" s="14"/>
      <c r="D52" s="14"/>
      <c r="E52" s="11" t="n">
        <f aca="false">SUM(C52-D52)</f>
        <v>0</v>
      </c>
      <c r="G52" s="14"/>
      <c r="H52" s="14"/>
      <c r="I52" s="14"/>
      <c r="J52" s="14"/>
      <c r="K52" s="11" t="n">
        <f aca="false">SUM(I52-J52)</f>
        <v>0</v>
      </c>
      <c r="M52" s="14"/>
      <c r="N52" s="14"/>
      <c r="O52" s="14"/>
      <c r="P52" s="14"/>
      <c r="Q52" s="11" t="n">
        <f aca="false">SUM(O52-P52)</f>
        <v>0</v>
      </c>
      <c r="X52" s="33"/>
      <c r="Y52" s="30"/>
      <c r="Z52" s="30"/>
      <c r="AA52" s="30"/>
      <c r="AB52" s="31"/>
    </row>
    <row r="53" customFormat="false" ht="15.75" hidden="true" customHeight="false" outlineLevel="0" collapsed="false">
      <c r="A53" s="14"/>
      <c r="B53" s="14"/>
      <c r="C53" s="14"/>
      <c r="D53" s="14"/>
      <c r="E53" s="11" t="n">
        <f aca="false">SUM(C53-D53)</f>
        <v>0</v>
      </c>
      <c r="G53" s="14"/>
      <c r="H53" s="14"/>
      <c r="I53" s="14"/>
      <c r="J53" s="14"/>
      <c r="K53" s="11" t="n">
        <f aca="false">SUM(I53-J53)</f>
        <v>0</v>
      </c>
      <c r="M53" s="14"/>
      <c r="N53" s="14"/>
      <c r="O53" s="14"/>
      <c r="P53" s="14"/>
      <c r="Q53" s="11" t="n">
        <f aca="false">SUM(O53-P53)</f>
        <v>0</v>
      </c>
      <c r="X53" s="33"/>
      <c r="Y53" s="30"/>
      <c r="Z53" s="30"/>
      <c r="AA53" s="30"/>
      <c r="AB53" s="31"/>
    </row>
    <row r="54" customFormat="false" ht="15.75" hidden="true" customHeight="false" outlineLevel="0" collapsed="false">
      <c r="A54" s="14"/>
      <c r="B54" s="14"/>
      <c r="C54" s="14"/>
      <c r="D54" s="14"/>
      <c r="E54" s="11" t="n">
        <f aca="false">SUM(C54-D54)</f>
        <v>0</v>
      </c>
      <c r="G54" s="14"/>
      <c r="H54" s="14"/>
      <c r="I54" s="14"/>
      <c r="J54" s="14"/>
      <c r="K54" s="11" t="n">
        <f aca="false">SUM(I54-J54)</f>
        <v>0</v>
      </c>
      <c r="M54" s="14"/>
      <c r="N54" s="14"/>
      <c r="O54" s="14"/>
      <c r="P54" s="14"/>
      <c r="Q54" s="11" t="n">
        <f aca="false">SUM(O54-P54)</f>
        <v>0</v>
      </c>
      <c r="X54" s="33"/>
      <c r="Y54" s="30"/>
      <c r="Z54" s="30"/>
      <c r="AA54" s="30"/>
      <c r="AB54" s="31"/>
    </row>
    <row r="55" customFormat="false" ht="15.75" hidden="true" customHeight="false" outlineLevel="0" collapsed="false">
      <c r="A55" s="14"/>
      <c r="B55" s="14"/>
      <c r="C55" s="14"/>
      <c r="D55" s="14"/>
      <c r="E55" s="11" t="n">
        <f aca="false">SUM(C55-D55)</f>
        <v>0</v>
      </c>
      <c r="G55" s="14"/>
      <c r="H55" s="14"/>
      <c r="I55" s="14"/>
      <c r="J55" s="14"/>
      <c r="K55" s="11" t="n">
        <f aca="false">SUM(I55-J55)</f>
        <v>0</v>
      </c>
      <c r="M55" s="14"/>
      <c r="N55" s="14"/>
      <c r="O55" s="14"/>
      <c r="P55" s="14"/>
      <c r="Q55" s="11" t="n">
        <f aca="false">SUM(O55-P55)</f>
        <v>0</v>
      </c>
      <c r="X55" s="33"/>
      <c r="Y55" s="30"/>
      <c r="Z55" s="30"/>
      <c r="AA55" s="30"/>
      <c r="AB55" s="31"/>
    </row>
    <row r="56" customFormat="false" ht="15.75" hidden="true" customHeight="false" outlineLevel="0" collapsed="false">
      <c r="A56" s="14"/>
      <c r="B56" s="14"/>
      <c r="C56" s="14"/>
      <c r="D56" s="14"/>
      <c r="E56" s="11" t="n">
        <f aca="false">SUM(C56-D56)</f>
        <v>0</v>
      </c>
      <c r="G56" s="14"/>
      <c r="H56" s="14"/>
      <c r="I56" s="14"/>
      <c r="J56" s="14"/>
      <c r="K56" s="11" t="n">
        <f aca="false">SUM(I56-J56)</f>
        <v>0</v>
      </c>
      <c r="M56" s="14"/>
      <c r="N56" s="14"/>
      <c r="O56" s="14"/>
      <c r="P56" s="14"/>
      <c r="Q56" s="11" t="n">
        <f aca="false">SUM(O56-P56)</f>
        <v>0</v>
      </c>
      <c r="X56" s="33"/>
      <c r="Y56" s="30"/>
      <c r="Z56" s="30"/>
      <c r="AA56" s="30"/>
      <c r="AB56" s="31"/>
    </row>
    <row r="57" customFormat="false" ht="15.75" hidden="true" customHeight="false" outlineLevel="0" collapsed="false">
      <c r="A57" s="14"/>
      <c r="B57" s="14"/>
      <c r="C57" s="14"/>
      <c r="D57" s="14"/>
      <c r="E57" s="11" t="n">
        <f aca="false">SUM(C57-D57)</f>
        <v>0</v>
      </c>
      <c r="G57" s="14"/>
      <c r="H57" s="14"/>
      <c r="I57" s="14"/>
      <c r="J57" s="14"/>
      <c r="K57" s="11" t="n">
        <f aca="false">SUM(I57-J57)</f>
        <v>0</v>
      </c>
      <c r="M57" s="14"/>
      <c r="N57" s="14"/>
      <c r="O57" s="14"/>
      <c r="P57" s="14"/>
      <c r="Q57" s="11" t="n">
        <f aca="false">SUM(O57-P57)</f>
        <v>0</v>
      </c>
      <c r="X57" s="33"/>
      <c r="Y57" s="30"/>
      <c r="Z57" s="30"/>
      <c r="AA57" s="30"/>
      <c r="AB57" s="31"/>
    </row>
    <row r="58" customFormat="false" ht="15.75" hidden="true" customHeight="false" outlineLevel="0" collapsed="false">
      <c r="A58" s="14"/>
      <c r="B58" s="14"/>
      <c r="C58" s="14"/>
      <c r="D58" s="14"/>
      <c r="E58" s="11" t="n">
        <f aca="false">SUM(C58-D58)</f>
        <v>0</v>
      </c>
      <c r="G58" s="14"/>
      <c r="H58" s="14"/>
      <c r="I58" s="14"/>
      <c r="J58" s="14"/>
      <c r="K58" s="11" t="n">
        <f aca="false">SUM(I58-J58)</f>
        <v>0</v>
      </c>
      <c r="M58" s="14"/>
      <c r="N58" s="14"/>
      <c r="O58" s="14"/>
      <c r="P58" s="14"/>
      <c r="Q58" s="11" t="n">
        <f aca="false">SUM(O58-P58)</f>
        <v>0</v>
      </c>
      <c r="X58" s="34"/>
      <c r="Y58" s="35"/>
      <c r="Z58" s="35"/>
      <c r="AA58" s="35"/>
      <c r="AB58" s="36"/>
    </row>
    <row r="59" customFormat="false" ht="15.75" hidden="true" customHeight="false" outlineLevel="0" collapsed="false"/>
    <row r="60" customFormat="false" ht="15.75" hidden="false" customHeight="false" outlineLevel="0" collapsed="false">
      <c r="C60" s="18" t="s">
        <v>24</v>
      </c>
      <c r="D60" s="18" t="s">
        <v>24</v>
      </c>
      <c r="E60" s="19" t="s">
        <v>24</v>
      </c>
      <c r="I60" s="18" t="s">
        <v>24</v>
      </c>
      <c r="J60" s="18" t="s">
        <v>24</v>
      </c>
      <c r="K60" s="19" t="s">
        <v>24</v>
      </c>
      <c r="O60" s="18" t="s">
        <v>24</v>
      </c>
      <c r="P60" s="18" t="s">
        <v>24</v>
      </c>
      <c r="Q60" s="19" t="s">
        <v>24</v>
      </c>
    </row>
    <row r="61" customFormat="false" ht="15.75" hidden="false" customHeight="false" outlineLevel="0" collapsed="false">
      <c r="C61" s="11" t="n">
        <f aca="false">SUM(C4:C58)</f>
        <v>0</v>
      </c>
      <c r="D61" s="11" t="n">
        <f aca="false">SUM(D4:D58)</f>
        <v>7.2</v>
      </c>
      <c r="E61" s="11" t="n">
        <f aca="false">SUM(E4:E58)</f>
        <v>-7.2</v>
      </c>
      <c r="I61" s="11" t="n">
        <f aca="false">SUM(I4:I58)</f>
        <v>115</v>
      </c>
      <c r="J61" s="11" t="n">
        <f aca="false">SUM(J4:J58)</f>
        <v>1124.89</v>
      </c>
      <c r="K61" s="11" t="n">
        <f aca="false">SUM(K4:K58)</f>
        <v>-1009.89</v>
      </c>
      <c r="O61" s="11" t="n">
        <f aca="false">SUM(O4:O58)</f>
        <v>145</v>
      </c>
      <c r="P61" s="11" t="n">
        <f aca="false">SUM(P4:P58)</f>
        <v>662.1</v>
      </c>
      <c r="Q61" s="11" t="n">
        <f aca="false">SUM(Q4:Q58)</f>
        <v>-517.1</v>
      </c>
    </row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>
      <c r="A67" s="20"/>
      <c r="C67" s="21"/>
      <c r="D67" s="21"/>
      <c r="G67" s="20"/>
      <c r="I67" s="21"/>
      <c r="J67" s="21"/>
      <c r="M67" s="20"/>
      <c r="O67" s="21"/>
    </row>
    <row r="68" customFormat="false" ht="13.8" hidden="false" customHeight="false" outlineLevel="0" collapsed="false">
      <c r="A68" s="20"/>
      <c r="C68" s="22"/>
      <c r="G68" s="20"/>
      <c r="I68" s="22"/>
      <c r="M68" s="20"/>
      <c r="O68" s="22"/>
      <c r="X68" s="1"/>
      <c r="Y68" s="1"/>
      <c r="Z68" s="1"/>
      <c r="AA68" s="1"/>
      <c r="AB68" s="1"/>
    </row>
    <row r="69" customFormat="false" ht="13.8" hidden="false" customHeight="false" outlineLevel="0" collapsed="false">
      <c r="A69" s="1"/>
      <c r="B69" s="1"/>
      <c r="C69" s="1"/>
      <c r="D69" s="1"/>
      <c r="E69" s="1"/>
      <c r="H69" s="1"/>
      <c r="I69" s="1"/>
      <c r="J69" s="1"/>
      <c r="K69" s="1"/>
      <c r="L69" s="1"/>
      <c r="O69" s="1"/>
      <c r="P69" s="1"/>
      <c r="Q69" s="1"/>
      <c r="R69" s="1"/>
      <c r="S69" s="1"/>
      <c r="X69" s="1"/>
      <c r="Y69" s="1"/>
      <c r="Z69" s="1"/>
      <c r="AA69" s="1"/>
      <c r="AB69" s="1"/>
    </row>
    <row r="70" customFormat="false" ht="15.75" hidden="false" customHeight="true" outlineLevel="0" collapsed="false">
      <c r="A70" s="1"/>
      <c r="B70" s="1"/>
      <c r="C70" s="1"/>
      <c r="D70" s="1"/>
      <c r="E70" s="1"/>
      <c r="H70" s="1"/>
      <c r="I70" s="1"/>
      <c r="J70" s="1"/>
      <c r="K70" s="1"/>
      <c r="L70" s="1"/>
      <c r="O70" s="1"/>
      <c r="P70" s="1"/>
      <c r="Q70" s="1"/>
      <c r="R70" s="1"/>
      <c r="S70" s="1"/>
      <c r="X70" s="2"/>
      <c r="Y70" s="3"/>
      <c r="Z70" s="3"/>
      <c r="AA70" s="3"/>
      <c r="AB70" s="5"/>
    </row>
    <row r="71" customFormat="false" ht="15.75" hidden="false" customHeight="true" outlineLevel="0" collapsed="false">
      <c r="A71" s="2"/>
      <c r="B71" s="3"/>
      <c r="C71" s="4"/>
      <c r="D71" s="4"/>
      <c r="E71" s="5"/>
      <c r="G71" s="5"/>
      <c r="H71" s="2"/>
      <c r="I71" s="3"/>
      <c r="J71" s="3"/>
      <c r="K71" s="3"/>
      <c r="L71" s="5"/>
      <c r="O71" s="2"/>
      <c r="P71" s="3"/>
      <c r="Q71" s="3"/>
      <c r="R71" s="3"/>
      <c r="S71" s="5"/>
      <c r="X71" s="26"/>
      <c r="Y71" s="27"/>
      <c r="Z71" s="27"/>
      <c r="AA71" s="27"/>
      <c r="AB71" s="28"/>
    </row>
    <row r="72" customFormat="false" ht="13.8" hidden="false" customHeight="false" outlineLevel="0" collapsed="false">
      <c r="A72" s="16"/>
      <c r="B72" s="14"/>
      <c r="C72" s="23"/>
      <c r="D72" s="23"/>
      <c r="E72" s="24"/>
      <c r="F72" s="38"/>
      <c r="G72" s="24"/>
      <c r="H72" s="10"/>
      <c r="L72" s="24"/>
      <c r="O72" s="26"/>
      <c r="P72" s="27"/>
      <c r="Q72" s="27"/>
      <c r="R72" s="27"/>
      <c r="S72" s="28"/>
      <c r="X72" s="26"/>
      <c r="Y72" s="27"/>
      <c r="Z72" s="30"/>
      <c r="AA72" s="30"/>
      <c r="AB72" s="31"/>
    </row>
    <row r="73" customFormat="false" ht="13.8" hidden="false" customHeight="false" outlineLevel="0" collapsed="false">
      <c r="A73" s="16"/>
      <c r="B73" s="14"/>
      <c r="C73" s="23"/>
      <c r="D73" s="23"/>
      <c r="E73" s="24"/>
      <c r="F73" s="39"/>
      <c r="G73" s="24"/>
      <c r="H73" s="10"/>
      <c r="L73" s="24"/>
      <c r="O73" s="26"/>
      <c r="P73" s="30"/>
      <c r="Q73" s="30"/>
      <c r="R73" s="30"/>
      <c r="S73" s="31"/>
      <c r="X73" s="26"/>
      <c r="Y73" s="27"/>
      <c r="Z73" s="30"/>
      <c r="AA73" s="30"/>
      <c r="AB73" s="31"/>
    </row>
    <row r="74" customFormat="false" ht="13.8" hidden="false" customHeight="false" outlineLevel="0" collapsed="false">
      <c r="A74" s="16"/>
      <c r="B74" s="14"/>
      <c r="C74" s="23"/>
      <c r="D74" s="23"/>
      <c r="E74" s="24"/>
      <c r="F74" s="38"/>
      <c r="G74" s="24"/>
      <c r="H74" s="16"/>
      <c r="L74" s="24"/>
      <c r="O74" s="26"/>
      <c r="P74" s="27"/>
      <c r="Q74" s="30"/>
      <c r="R74" s="30"/>
      <c r="S74" s="28"/>
      <c r="X74" s="26"/>
      <c r="Y74" s="27"/>
      <c r="Z74" s="30"/>
      <c r="AA74" s="30"/>
      <c r="AB74" s="31"/>
    </row>
    <row r="75" customFormat="false" ht="13.8" hidden="false" customHeight="false" outlineLevel="0" collapsed="false">
      <c r="A75" s="16"/>
      <c r="B75" s="14"/>
      <c r="C75" s="23"/>
      <c r="D75" s="23"/>
      <c r="E75" s="24"/>
      <c r="F75" s="39"/>
      <c r="G75" s="32"/>
      <c r="H75" s="16"/>
      <c r="L75" s="32"/>
      <c r="O75" s="26"/>
      <c r="P75" s="30"/>
      <c r="Q75" s="30"/>
      <c r="R75" s="30"/>
      <c r="S75" s="31"/>
      <c r="X75" s="26"/>
      <c r="Y75" s="27"/>
      <c r="Z75" s="30"/>
      <c r="AA75" s="30"/>
      <c r="AB75" s="31"/>
    </row>
    <row r="76" customFormat="false" ht="13.8" hidden="false" customHeight="false" outlineLevel="0" collapsed="false">
      <c r="A76" s="16"/>
      <c r="B76" s="14"/>
      <c r="C76" s="23"/>
      <c r="D76" s="23"/>
      <c r="E76" s="24"/>
      <c r="F76" s="39"/>
      <c r="G76" s="32"/>
      <c r="H76" s="40"/>
      <c r="L76" s="32"/>
      <c r="O76" s="26"/>
      <c r="P76" s="27"/>
      <c r="Q76" s="30"/>
      <c r="R76" s="30"/>
      <c r="S76" s="28"/>
      <c r="X76" s="26"/>
      <c r="Y76" s="27"/>
      <c r="Z76" s="30"/>
      <c r="AA76" s="30"/>
      <c r="AB76" s="31"/>
    </row>
    <row r="77" customFormat="false" ht="13.8" hidden="false" customHeight="false" outlineLevel="0" collapsed="false">
      <c r="A77" s="16"/>
      <c r="B77" s="14"/>
      <c r="C77" s="23"/>
      <c r="D77" s="23"/>
      <c r="E77" s="24"/>
      <c r="F77" s="41"/>
      <c r="G77" s="32"/>
      <c r="H77" s="16"/>
      <c r="L77" s="32"/>
      <c r="O77" s="26"/>
      <c r="P77" s="30"/>
      <c r="Q77" s="30"/>
      <c r="R77" s="30"/>
      <c r="S77" s="31"/>
      <c r="X77" s="26"/>
      <c r="Y77" s="27"/>
      <c r="Z77" s="30"/>
      <c r="AA77" s="30"/>
      <c r="AB77" s="31"/>
    </row>
    <row r="78" customFormat="false" ht="13.8" hidden="false" customHeight="false" outlineLevel="0" collapsed="false">
      <c r="A78" s="16"/>
      <c r="B78" s="14"/>
      <c r="C78" s="23"/>
      <c r="D78" s="23"/>
      <c r="E78" s="24"/>
      <c r="F78" s="42"/>
      <c r="G78" s="32"/>
      <c r="H78" s="16"/>
      <c r="L78" s="32"/>
      <c r="O78" s="26"/>
      <c r="P78" s="30"/>
      <c r="Q78" s="30"/>
      <c r="R78" s="30"/>
      <c r="S78" s="31"/>
      <c r="X78" s="26"/>
      <c r="Y78" s="30"/>
      <c r="Z78" s="30"/>
      <c r="AA78" s="30"/>
      <c r="AB78" s="31"/>
    </row>
    <row r="79" customFormat="false" ht="13.8" hidden="false" customHeight="false" outlineLevel="0" collapsed="false">
      <c r="A79" s="16"/>
      <c r="B79" s="14"/>
      <c r="C79" s="23"/>
      <c r="D79" s="23"/>
      <c r="E79" s="24"/>
      <c r="F79" s="41"/>
      <c r="G79" s="32"/>
      <c r="H79" s="16"/>
      <c r="L79" s="32"/>
      <c r="O79" s="26"/>
      <c r="P79" s="30"/>
      <c r="Q79" s="30"/>
      <c r="R79" s="30"/>
      <c r="S79" s="31"/>
      <c r="X79" s="26"/>
      <c r="Y79" s="30"/>
      <c r="Z79" s="30"/>
      <c r="AA79" s="30"/>
      <c r="AB79" s="31"/>
    </row>
    <row r="80" customFormat="false" ht="13.8" hidden="false" customHeight="false" outlineLevel="0" collapsed="false">
      <c r="A80" s="16"/>
      <c r="B80" s="14"/>
      <c r="C80" s="23"/>
      <c r="D80" s="23"/>
      <c r="E80" s="24"/>
      <c r="F80" s="39"/>
      <c r="G80" s="32"/>
      <c r="H80" s="16"/>
      <c r="L80" s="32"/>
      <c r="O80" s="26"/>
      <c r="P80" s="30"/>
      <c r="Q80" s="30"/>
      <c r="R80" s="30"/>
      <c r="S80" s="31"/>
      <c r="X80" s="26"/>
      <c r="Y80" s="30"/>
      <c r="Z80" s="30"/>
      <c r="AA80" s="30"/>
      <c r="AB80" s="31"/>
    </row>
    <row r="81" customFormat="false" ht="13.8" hidden="false" customHeight="false" outlineLevel="0" collapsed="false">
      <c r="A81" s="16"/>
      <c r="B81" s="14"/>
      <c r="C81" s="23"/>
      <c r="D81" s="23"/>
      <c r="E81" s="24"/>
      <c r="F81" s="39"/>
      <c r="G81" s="32"/>
      <c r="H81" s="16"/>
      <c r="L81" s="32"/>
      <c r="O81" s="26"/>
      <c r="P81" s="30"/>
      <c r="Q81" s="30"/>
      <c r="R81" s="30"/>
      <c r="S81" s="31"/>
      <c r="X81" s="26"/>
      <c r="Y81" s="30"/>
      <c r="Z81" s="30"/>
      <c r="AA81" s="30"/>
      <c r="AB81" s="31"/>
    </row>
    <row r="82" customFormat="false" ht="13.8" hidden="false" customHeight="false" outlineLevel="0" collapsed="false">
      <c r="A82" s="16"/>
      <c r="B82" s="14"/>
      <c r="C82" s="23"/>
      <c r="D82" s="23"/>
      <c r="E82" s="24"/>
      <c r="F82" s="38"/>
      <c r="G82" s="32"/>
      <c r="H82" s="16"/>
      <c r="L82" s="32"/>
      <c r="O82" s="26"/>
      <c r="P82" s="30"/>
      <c r="Q82" s="30"/>
      <c r="R82" s="30"/>
      <c r="S82" s="31"/>
      <c r="X82" s="26"/>
      <c r="Y82" s="30"/>
      <c r="Z82" s="30"/>
      <c r="AA82" s="30"/>
      <c r="AB82" s="31"/>
    </row>
    <row r="83" customFormat="false" ht="13.8" hidden="false" customHeight="false" outlineLevel="0" collapsed="false">
      <c r="A83" s="16"/>
      <c r="B83" s="14"/>
      <c r="C83" s="23"/>
      <c r="D83" s="23"/>
      <c r="E83" s="24"/>
      <c r="F83" s="42"/>
      <c r="G83" s="32"/>
      <c r="H83" s="16"/>
      <c r="L83" s="32"/>
      <c r="O83" s="26"/>
      <c r="P83" s="30"/>
      <c r="Q83" s="30"/>
      <c r="R83" s="30"/>
      <c r="S83" s="31"/>
      <c r="X83" s="26"/>
      <c r="Y83" s="30"/>
      <c r="Z83" s="30"/>
      <c r="AA83" s="30"/>
      <c r="AB83" s="31"/>
    </row>
    <row r="84" customFormat="false" ht="13.8" hidden="false" customHeight="false" outlineLevel="0" collapsed="false">
      <c r="A84" s="16"/>
      <c r="B84" s="14"/>
      <c r="C84" s="23"/>
      <c r="D84" s="23"/>
      <c r="E84" s="24"/>
      <c r="F84" s="38"/>
      <c r="G84" s="32"/>
      <c r="H84" s="16"/>
      <c r="L84" s="32"/>
      <c r="O84" s="26"/>
      <c r="P84" s="30"/>
      <c r="Q84" s="30"/>
      <c r="R84" s="30"/>
      <c r="S84" s="31"/>
      <c r="X84" s="26"/>
      <c r="Y84" s="30"/>
      <c r="Z84" s="30"/>
      <c r="AA84" s="30"/>
      <c r="AB84" s="31"/>
    </row>
    <row r="85" customFormat="false" ht="13.8" hidden="false" customHeight="false" outlineLevel="0" collapsed="false">
      <c r="A85" s="16"/>
      <c r="B85" s="14"/>
      <c r="C85" s="23"/>
      <c r="D85" s="23"/>
      <c r="E85" s="24"/>
      <c r="F85" s="42"/>
      <c r="G85" s="32"/>
      <c r="H85" s="16"/>
      <c r="L85" s="32"/>
      <c r="O85" s="26"/>
      <c r="P85" s="30"/>
      <c r="Q85" s="30"/>
      <c r="R85" s="30"/>
      <c r="S85" s="31"/>
      <c r="X85" s="26"/>
      <c r="Y85" s="30"/>
      <c r="Z85" s="30"/>
      <c r="AA85" s="30"/>
      <c r="AB85" s="31"/>
    </row>
    <row r="86" customFormat="false" ht="13.8" hidden="false" customHeight="false" outlineLevel="0" collapsed="false">
      <c r="A86" s="16"/>
      <c r="B86" s="14"/>
      <c r="C86" s="23"/>
      <c r="D86" s="23"/>
      <c r="E86" s="24"/>
      <c r="F86" s="41"/>
      <c r="G86" s="32"/>
      <c r="H86" s="16"/>
      <c r="L86" s="32"/>
      <c r="O86" s="26"/>
      <c r="P86" s="30"/>
      <c r="Q86" s="30"/>
      <c r="R86" s="30"/>
      <c r="S86" s="31"/>
      <c r="X86" s="40"/>
      <c r="Y86" s="43"/>
    </row>
    <row r="87" customFormat="false" ht="13.8" hidden="false" customHeight="false" outlineLevel="0" collapsed="false">
      <c r="A87" s="16"/>
      <c r="B87" s="14"/>
      <c r="C87" s="23"/>
      <c r="D87" s="23"/>
      <c r="E87" s="24"/>
      <c r="F87" s="42"/>
      <c r="G87" s="32"/>
      <c r="H87" s="16"/>
      <c r="L87" s="32"/>
      <c r="O87" s="26"/>
      <c r="P87" s="30"/>
      <c r="Q87" s="30"/>
      <c r="R87" s="30"/>
      <c r="S87" s="31"/>
      <c r="X87" s="40"/>
      <c r="Y87" s="43"/>
    </row>
    <row r="88" customFormat="false" ht="13.8" hidden="false" customHeight="false" outlineLevel="0" collapsed="false">
      <c r="A88" s="16"/>
      <c r="B88" s="14"/>
      <c r="C88" s="23"/>
      <c r="D88" s="23"/>
      <c r="E88" s="24"/>
      <c r="F88" s="41"/>
      <c r="G88" s="32"/>
      <c r="H88" s="16"/>
      <c r="L88" s="32"/>
      <c r="O88" s="26"/>
      <c r="P88" s="30"/>
      <c r="Q88" s="30"/>
      <c r="R88" s="30"/>
      <c r="S88" s="31"/>
      <c r="X88" s="40"/>
      <c r="Y88" s="43"/>
    </row>
    <row r="89" customFormat="false" ht="13.8" hidden="false" customHeight="false" outlineLevel="0" collapsed="false">
      <c r="A89" s="16"/>
      <c r="B89" s="14"/>
      <c r="C89" s="23"/>
      <c r="D89" s="23"/>
      <c r="E89" s="24"/>
      <c r="F89" s="42"/>
      <c r="G89" s="32"/>
      <c r="H89" s="16"/>
      <c r="L89" s="32"/>
      <c r="O89" s="29"/>
      <c r="P89" s="30"/>
      <c r="Q89" s="30"/>
      <c r="R89" s="30"/>
      <c r="S89" s="31"/>
      <c r="X89" s="40"/>
      <c r="Y89" s="43"/>
    </row>
    <row r="90" customFormat="false" ht="13.8" hidden="false" customHeight="false" outlineLevel="0" collapsed="false">
      <c r="A90" s="16"/>
      <c r="B90" s="14"/>
      <c r="C90" s="23"/>
      <c r="D90" s="23"/>
      <c r="E90" s="24"/>
      <c r="F90" s="41"/>
      <c r="G90" s="32"/>
      <c r="H90" s="16"/>
      <c r="L90" s="32"/>
      <c r="O90" s="29"/>
      <c r="P90" s="30"/>
      <c r="Q90" s="30"/>
      <c r="R90" s="30"/>
      <c r="S90" s="31"/>
      <c r="X90" s="40"/>
      <c r="Y90" s="43"/>
    </row>
    <row r="91" customFormat="false" ht="13.8" hidden="false" customHeight="false" outlineLevel="0" collapsed="false">
      <c r="A91" s="16"/>
      <c r="B91" s="14"/>
      <c r="C91" s="23"/>
      <c r="D91" s="23"/>
      <c r="E91" s="24"/>
      <c r="F91" s="42"/>
      <c r="G91" s="32"/>
      <c r="H91" s="16"/>
      <c r="L91" s="32"/>
      <c r="O91" s="29"/>
      <c r="P91" s="30"/>
      <c r="Q91" s="30"/>
      <c r="R91" s="30"/>
      <c r="S91" s="31"/>
      <c r="X91" s="40"/>
      <c r="Y91" s="43"/>
    </row>
    <row r="92" customFormat="false" ht="13.8" hidden="false" customHeight="false" outlineLevel="0" collapsed="false">
      <c r="A92" s="16"/>
      <c r="B92" s="14"/>
      <c r="C92" s="23"/>
      <c r="D92" s="23"/>
      <c r="E92" s="24"/>
      <c r="F92" s="41"/>
      <c r="G92" s="32"/>
      <c r="H92" s="16"/>
      <c r="L92" s="32"/>
      <c r="O92" s="29"/>
      <c r="P92" s="30"/>
      <c r="Q92" s="30"/>
      <c r="R92" s="30"/>
      <c r="S92" s="31"/>
      <c r="X92" s="40"/>
      <c r="Y92" s="43"/>
    </row>
    <row r="93" customFormat="false" ht="13.8" hidden="false" customHeight="false" outlineLevel="0" collapsed="false">
      <c r="A93" s="16"/>
      <c r="B93" s="14"/>
      <c r="C93" s="23"/>
      <c r="D93" s="23"/>
      <c r="E93" s="24"/>
      <c r="F93" s="42"/>
      <c r="G93" s="32"/>
      <c r="H93" s="16"/>
      <c r="L93" s="32"/>
      <c r="O93" s="29"/>
      <c r="P93" s="30"/>
      <c r="Q93" s="30"/>
      <c r="R93" s="30"/>
      <c r="S93" s="31"/>
      <c r="X93" s="40"/>
      <c r="Y93" s="43"/>
    </row>
    <row r="94" customFormat="false" ht="13.8" hidden="false" customHeight="false" outlineLevel="0" collapsed="false">
      <c r="A94" s="16"/>
      <c r="B94" s="14"/>
      <c r="C94" s="23"/>
      <c r="D94" s="23"/>
      <c r="E94" s="24"/>
      <c r="F94" s="39"/>
      <c r="G94" s="32"/>
      <c r="H94" s="16"/>
      <c r="L94" s="32"/>
      <c r="O94" s="29"/>
      <c r="P94" s="30"/>
      <c r="Q94" s="30"/>
      <c r="R94" s="30"/>
      <c r="S94" s="31"/>
      <c r="X94" s="40"/>
      <c r="Y94" s="43"/>
    </row>
    <row r="95" customFormat="false" ht="13.8" hidden="false" customHeight="false" outlineLevel="0" collapsed="false">
      <c r="A95" s="16"/>
      <c r="B95" s="14"/>
      <c r="C95" s="23"/>
      <c r="D95" s="23"/>
      <c r="E95" s="24"/>
      <c r="F95" s="42"/>
      <c r="G95" s="32"/>
      <c r="H95" s="16"/>
      <c r="L95" s="32"/>
      <c r="O95" s="29"/>
      <c r="P95" s="30"/>
      <c r="Q95" s="30"/>
      <c r="R95" s="30"/>
      <c r="S95" s="31"/>
      <c r="X95" s="40"/>
      <c r="Y95" s="43"/>
    </row>
    <row r="96" customFormat="false" ht="13.8" hidden="false" customHeight="false" outlineLevel="0" collapsed="false">
      <c r="A96" s="16"/>
      <c r="B96" s="14"/>
      <c r="C96" s="23"/>
      <c r="D96" s="23"/>
      <c r="E96" s="24"/>
      <c r="F96" s="38"/>
      <c r="G96" s="32"/>
      <c r="H96" s="16"/>
      <c r="L96" s="32"/>
      <c r="O96" s="29"/>
      <c r="P96" s="30"/>
      <c r="Q96" s="30"/>
      <c r="R96" s="30"/>
      <c r="S96" s="31"/>
      <c r="X96" s="40"/>
      <c r="Y96" s="43"/>
    </row>
    <row r="97" customFormat="false" ht="13.8" hidden="false" customHeight="false" outlineLevel="0" collapsed="false">
      <c r="A97" s="16"/>
      <c r="B97" s="14"/>
      <c r="C97" s="23"/>
      <c r="D97" s="23"/>
      <c r="E97" s="24"/>
      <c r="F97" s="42"/>
      <c r="G97" s="32"/>
      <c r="H97" s="16"/>
      <c r="L97" s="32"/>
      <c r="O97" s="29"/>
      <c r="P97" s="30"/>
      <c r="Q97" s="30"/>
      <c r="R97" s="30"/>
      <c r="S97" s="31"/>
      <c r="X97" s="40"/>
      <c r="Y97" s="43"/>
    </row>
    <row r="98" customFormat="false" ht="13.8" hidden="false" customHeight="false" outlineLevel="0" collapsed="false">
      <c r="A98" s="16"/>
      <c r="B98" s="14"/>
      <c r="C98" s="23"/>
      <c r="D98" s="23"/>
      <c r="E98" s="24"/>
      <c r="F98" s="38"/>
      <c r="G98" s="32"/>
      <c r="H98" s="14"/>
      <c r="L98" s="32"/>
      <c r="O98" s="29"/>
      <c r="P98" s="30"/>
      <c r="Q98" s="30"/>
      <c r="R98" s="30"/>
      <c r="S98" s="31"/>
      <c r="X98" s="40"/>
      <c r="Y98" s="43"/>
    </row>
    <row r="99" customFormat="false" ht="13.8" hidden="false" customHeight="false" outlineLevel="0" collapsed="false">
      <c r="A99" s="16"/>
      <c r="B99" s="14"/>
      <c r="C99" s="23"/>
      <c r="D99" s="23"/>
      <c r="E99" s="24"/>
      <c r="F99" s="42"/>
      <c r="G99" s="32"/>
      <c r="H99" s="14"/>
      <c r="L99" s="32"/>
      <c r="O99" s="29"/>
      <c r="P99" s="30"/>
      <c r="Q99" s="30"/>
      <c r="R99" s="30"/>
      <c r="S99" s="31"/>
      <c r="X99" s="40"/>
    </row>
    <row r="100" customFormat="false" ht="13.8" hidden="false" customHeight="false" outlineLevel="0" collapsed="false">
      <c r="A100" s="16"/>
      <c r="B100" s="14"/>
      <c r="C100" s="23"/>
      <c r="D100" s="23"/>
      <c r="E100" s="24"/>
      <c r="F100" s="38"/>
      <c r="G100" s="32"/>
      <c r="H100" s="14"/>
      <c r="L100" s="32"/>
      <c r="O100" s="29"/>
      <c r="P100" s="30"/>
      <c r="Q100" s="30"/>
      <c r="R100" s="30"/>
      <c r="S100" s="31"/>
      <c r="X100" s="40"/>
    </row>
    <row r="101" customFormat="false" ht="13.8" hidden="false" customHeight="false" outlineLevel="0" collapsed="false">
      <c r="A101" s="16"/>
      <c r="B101" s="14"/>
      <c r="C101" s="23"/>
      <c r="D101" s="23"/>
      <c r="E101" s="24"/>
      <c r="F101" s="42"/>
      <c r="G101" s="32"/>
      <c r="H101" s="14"/>
      <c r="L101" s="32"/>
      <c r="O101" s="29"/>
      <c r="P101" s="30"/>
      <c r="Q101" s="30"/>
      <c r="R101" s="30"/>
      <c r="S101" s="31"/>
      <c r="X101" s="40"/>
    </row>
    <row r="102" customFormat="false" ht="13.8" hidden="false" customHeight="false" outlineLevel="0" collapsed="false">
      <c r="A102" s="16"/>
      <c r="B102" s="14"/>
      <c r="C102" s="23"/>
      <c r="D102" s="23"/>
      <c r="E102" s="24"/>
      <c r="G102" s="32"/>
      <c r="H102" s="14"/>
      <c r="L102" s="32"/>
      <c r="O102" s="29"/>
      <c r="P102" s="30"/>
      <c r="Q102" s="30"/>
      <c r="R102" s="30"/>
      <c r="S102" s="31"/>
    </row>
    <row r="103" customFormat="false" ht="13.8" hidden="false" customHeight="false" outlineLevel="0" collapsed="false">
      <c r="A103" s="16"/>
      <c r="B103" s="14"/>
      <c r="C103" s="23"/>
      <c r="D103" s="23"/>
      <c r="E103" s="24"/>
      <c r="F103" s="42"/>
      <c r="G103" s="32"/>
      <c r="H103" s="14"/>
      <c r="L103" s="32"/>
      <c r="O103" s="33"/>
      <c r="P103" s="30"/>
      <c r="Q103" s="30"/>
      <c r="R103" s="30"/>
      <c r="S103" s="31"/>
    </row>
    <row r="104" customFormat="false" ht="13.8" hidden="false" customHeight="false" outlineLevel="0" collapsed="false">
      <c r="A104" s="16"/>
      <c r="B104" s="14"/>
      <c r="C104" s="23"/>
      <c r="D104" s="23"/>
      <c r="E104" s="24"/>
      <c r="G104" s="32"/>
      <c r="H104" s="14"/>
      <c r="L104" s="32"/>
      <c r="O104" s="33"/>
      <c r="P104" s="30"/>
      <c r="Q104" s="30"/>
      <c r="R104" s="30"/>
      <c r="S104" s="31"/>
    </row>
    <row r="105" customFormat="false" ht="13.8" hidden="false" customHeight="false" outlineLevel="0" collapsed="false">
      <c r="A105" s="16"/>
      <c r="B105" s="14"/>
      <c r="C105" s="23"/>
      <c r="D105" s="23"/>
      <c r="E105" s="24"/>
      <c r="G105" s="32"/>
      <c r="H105" s="14"/>
      <c r="L105" s="32"/>
      <c r="O105" s="33"/>
      <c r="P105" s="30"/>
      <c r="Q105" s="30"/>
      <c r="R105" s="30"/>
      <c r="S105" s="31"/>
    </row>
    <row r="106" customFormat="false" ht="13.8" hidden="false" customHeight="false" outlineLevel="0" collapsed="false">
      <c r="A106" s="16"/>
      <c r="B106" s="14"/>
      <c r="C106" s="23"/>
      <c r="D106" s="23"/>
      <c r="E106" s="24"/>
      <c r="G106" s="32"/>
      <c r="H106" s="14"/>
      <c r="L106" s="32"/>
      <c r="O106" s="33"/>
      <c r="P106" s="30"/>
      <c r="Q106" s="30"/>
      <c r="R106" s="30"/>
      <c r="S106" s="31"/>
    </row>
    <row r="107" customFormat="false" ht="13.8" hidden="false" customHeight="false" outlineLevel="0" collapsed="false">
      <c r="A107" s="16"/>
      <c r="B107" s="14"/>
      <c r="C107" s="23"/>
      <c r="D107" s="23"/>
      <c r="E107" s="24"/>
      <c r="G107" s="32"/>
      <c r="H107" s="14"/>
      <c r="L107" s="32"/>
      <c r="O107" s="33"/>
      <c r="P107" s="30"/>
      <c r="Q107" s="30"/>
      <c r="R107" s="30"/>
      <c r="S107" s="31"/>
    </row>
    <row r="108" customFormat="false" ht="13.8" hidden="false" customHeight="false" outlineLevel="0" collapsed="false">
      <c r="A108" s="16"/>
      <c r="B108" s="14"/>
      <c r="C108" s="23"/>
      <c r="D108" s="23"/>
      <c r="E108" s="24"/>
      <c r="G108" s="32"/>
      <c r="H108" s="14"/>
      <c r="L108" s="32"/>
      <c r="O108" s="33"/>
      <c r="P108" s="30"/>
      <c r="Q108" s="30"/>
      <c r="R108" s="30"/>
      <c r="S108" s="31"/>
    </row>
    <row r="109" customFormat="false" ht="13.8" hidden="false" customHeight="false" outlineLevel="0" collapsed="false">
      <c r="A109" s="14"/>
      <c r="B109" s="14"/>
      <c r="C109" s="14"/>
      <c r="D109" s="14"/>
      <c r="E109" s="32"/>
      <c r="G109" s="32"/>
      <c r="H109" s="14"/>
      <c r="L109" s="32"/>
      <c r="O109" s="33"/>
      <c r="P109" s="30"/>
      <c r="Q109" s="30"/>
      <c r="R109" s="30"/>
      <c r="S109" s="31"/>
    </row>
    <row r="110" customFormat="false" ht="13.8" hidden="false" customHeight="false" outlineLevel="0" collapsed="false">
      <c r="A110" s="14"/>
      <c r="B110" s="14"/>
      <c r="C110" s="14"/>
      <c r="D110" s="14"/>
      <c r="E110" s="32"/>
      <c r="G110" s="32"/>
      <c r="H110" s="14"/>
      <c r="L110" s="32"/>
      <c r="O110" s="33"/>
      <c r="P110" s="30"/>
      <c r="Q110" s="30"/>
      <c r="R110" s="30"/>
      <c r="S110" s="31"/>
    </row>
    <row r="111" customFormat="false" ht="13.8" hidden="false" customHeight="false" outlineLevel="0" collapsed="false">
      <c r="A111" s="14"/>
      <c r="B111" s="14"/>
      <c r="C111" s="14"/>
      <c r="D111" s="14"/>
      <c r="E111" s="32"/>
      <c r="G111" s="32"/>
      <c r="H111" s="14"/>
      <c r="L111" s="32"/>
      <c r="O111" s="33"/>
      <c r="P111" s="30"/>
      <c r="Q111" s="30"/>
      <c r="R111" s="30"/>
      <c r="S111" s="31"/>
    </row>
    <row r="112" customFormat="false" ht="13.8" hidden="false" customHeight="false" outlineLevel="0" collapsed="false">
      <c r="A112" s="14"/>
      <c r="B112" s="14"/>
      <c r="C112" s="14"/>
      <c r="D112" s="14"/>
      <c r="E112" s="32"/>
      <c r="G112" s="32"/>
      <c r="H112" s="14"/>
      <c r="L112" s="32"/>
      <c r="O112" s="33"/>
      <c r="P112" s="30"/>
      <c r="Q112" s="30"/>
      <c r="R112" s="30"/>
      <c r="S112" s="31"/>
    </row>
    <row r="113" customFormat="false" ht="13.8" hidden="false" customHeight="false" outlineLevel="0" collapsed="false">
      <c r="A113" s="14"/>
      <c r="B113" s="14"/>
      <c r="C113" s="14"/>
      <c r="D113" s="14"/>
      <c r="E113" s="32"/>
      <c r="G113" s="32"/>
      <c r="H113" s="14"/>
      <c r="L113" s="32"/>
      <c r="O113" s="33"/>
      <c r="P113" s="30"/>
      <c r="Q113" s="30"/>
      <c r="R113" s="30"/>
      <c r="S113" s="31"/>
    </row>
    <row r="114" customFormat="false" ht="13.8" hidden="false" customHeight="false" outlineLevel="0" collapsed="false">
      <c r="A114" s="14"/>
      <c r="B114" s="14"/>
      <c r="C114" s="14"/>
      <c r="D114" s="14"/>
      <c r="E114" s="32"/>
      <c r="G114" s="32"/>
      <c r="H114" s="14"/>
      <c r="L114" s="32"/>
      <c r="O114" s="33"/>
      <c r="P114" s="30"/>
      <c r="Q114" s="30"/>
      <c r="R114" s="30"/>
      <c r="S114" s="31"/>
    </row>
    <row r="115" customFormat="false" ht="13.8" hidden="false" customHeight="false" outlineLevel="0" collapsed="false">
      <c r="A115" s="14"/>
      <c r="B115" s="14"/>
      <c r="C115" s="14"/>
      <c r="D115" s="14"/>
      <c r="E115" s="32"/>
      <c r="G115" s="32"/>
      <c r="H115" s="14"/>
      <c r="L115" s="32"/>
      <c r="O115" s="33"/>
      <c r="P115" s="30"/>
      <c r="Q115" s="30"/>
      <c r="R115" s="30"/>
      <c r="S115" s="31"/>
    </row>
    <row r="116" customFormat="false" ht="13.8" hidden="false" customHeight="false" outlineLevel="0" collapsed="false">
      <c r="A116" s="14"/>
      <c r="B116" s="14"/>
      <c r="C116" s="14"/>
      <c r="D116" s="14"/>
      <c r="E116" s="32"/>
      <c r="G116" s="32"/>
      <c r="H116" s="14"/>
      <c r="L116" s="32"/>
      <c r="O116" s="33"/>
      <c r="P116" s="30"/>
      <c r="Q116" s="30"/>
      <c r="R116" s="30"/>
      <c r="S116" s="31"/>
    </row>
    <row r="117" customFormat="false" ht="13.8" hidden="false" customHeight="false" outlineLevel="0" collapsed="false">
      <c r="A117" s="14"/>
      <c r="B117" s="14"/>
      <c r="C117" s="14"/>
      <c r="D117" s="14"/>
      <c r="E117" s="32"/>
      <c r="G117" s="32"/>
      <c r="H117" s="14"/>
      <c r="L117" s="32"/>
      <c r="O117" s="33"/>
      <c r="P117" s="30"/>
      <c r="Q117" s="30"/>
      <c r="R117" s="30"/>
      <c r="S117" s="31"/>
    </row>
    <row r="118" customFormat="false" ht="13.8" hidden="false" customHeight="false" outlineLevel="0" collapsed="false">
      <c r="A118" s="16"/>
      <c r="B118" s="14"/>
      <c r="C118" s="23"/>
      <c r="D118" s="23"/>
      <c r="E118" s="24"/>
      <c r="G118" s="32"/>
      <c r="H118" s="14"/>
      <c r="L118" s="32"/>
      <c r="O118" s="33"/>
      <c r="P118" s="30"/>
      <c r="Q118" s="30"/>
      <c r="R118" s="30"/>
      <c r="S118" s="31"/>
    </row>
    <row r="119" customFormat="false" ht="13.8" hidden="false" customHeight="false" outlineLevel="0" collapsed="false">
      <c r="A119" s="14"/>
      <c r="B119" s="14"/>
      <c r="C119" s="14"/>
      <c r="D119" s="14"/>
      <c r="E119" s="32"/>
      <c r="G119" s="32"/>
      <c r="H119" s="14"/>
      <c r="L119" s="32"/>
      <c r="O119" s="34"/>
      <c r="P119" s="35"/>
      <c r="Q119" s="35"/>
      <c r="R119" s="35"/>
      <c r="S119" s="36"/>
    </row>
    <row r="120" customFormat="false" ht="13.8" hidden="false" customHeight="false" outlineLevel="0" collapsed="false">
      <c r="A120" s="14"/>
      <c r="B120" s="14"/>
      <c r="C120" s="14"/>
      <c r="D120" s="14"/>
      <c r="E120" s="32"/>
      <c r="G120" s="32"/>
      <c r="H120" s="14"/>
      <c r="I120" s="14"/>
      <c r="J120" s="14"/>
      <c r="K120" s="14"/>
      <c r="L120" s="32"/>
    </row>
    <row r="121" customFormat="false" ht="13.8" hidden="false" customHeight="false" outlineLevel="0" collapsed="false"/>
    <row r="122" customFormat="false" ht="13.8" hidden="false" customHeight="false" outlineLevel="0" collapsed="false">
      <c r="C122" s="18"/>
      <c r="D122" s="18"/>
      <c r="E122" s="19"/>
      <c r="L122" s="19"/>
    </row>
    <row r="123" customFormat="false" ht="13.8" hidden="false" customHeight="false" outlineLevel="0" collapsed="false">
      <c r="C123" s="11"/>
      <c r="D123" s="11"/>
      <c r="E123" s="11"/>
      <c r="L123" s="11" t="n">
        <f aca="false">SUM(L72:L120)</f>
        <v>0</v>
      </c>
    </row>
  </sheetData>
  <mergeCells count="8">
    <mergeCell ref="A1:E2"/>
    <mergeCell ref="G1:K2"/>
    <mergeCell ref="M1:Q2"/>
    <mergeCell ref="X2:AB3"/>
    <mergeCell ref="X68:AB69"/>
    <mergeCell ref="A69:E70"/>
    <mergeCell ref="H69:L70"/>
    <mergeCell ref="O69:S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2:E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5" activeCellId="0" sqref="C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</cols>
  <sheetData>
    <row r="2" customFormat="false" ht="15.75" hidden="false" customHeight="false" outlineLevel="0" collapsed="false"/>
    <row r="3" customFormat="false" ht="15.75" hidden="false" customHeight="false" outlineLevel="0" collapsed="false">
      <c r="A3" s="2" t="s">
        <v>129</v>
      </c>
      <c r="B3" s="3" t="s">
        <v>130</v>
      </c>
      <c r="C3" s="4" t="s">
        <v>131</v>
      </c>
      <c r="D3" s="4" t="s">
        <v>132</v>
      </c>
      <c r="E3" s="5" t="s">
        <v>7</v>
      </c>
    </row>
    <row r="4" customFormat="false" ht="15.75" hidden="false" customHeight="false" outlineLevel="0" collapsed="false">
      <c r="A4" s="11" t="s">
        <v>133</v>
      </c>
      <c r="B4" s="11" t="s">
        <v>2</v>
      </c>
      <c r="C4" s="11" t="n">
        <v>250</v>
      </c>
      <c r="D4" s="11" t="n">
        <v>0</v>
      </c>
      <c r="E4" s="11" t="n">
        <f aca="false">SUM(C4-D4)</f>
        <v>250</v>
      </c>
    </row>
    <row r="5" customFormat="false" ht="15.75" hidden="false" customHeight="false" outlineLevel="0" collapsed="false">
      <c r="C5" s="18" t="s">
        <v>24</v>
      </c>
      <c r="D5" s="18" t="s">
        <v>24</v>
      </c>
      <c r="E5" s="19" t="s">
        <v>24</v>
      </c>
    </row>
    <row r="6" customFormat="false" ht="15.75" hidden="false" customHeight="false" outlineLevel="0" collapsed="false">
      <c r="C6" s="11" t="n">
        <f aca="false">SUM(C4:C4)</f>
        <v>250</v>
      </c>
      <c r="D6" s="11" t="n">
        <f aca="false">SUM(D4:D4)</f>
        <v>0</v>
      </c>
      <c r="E6" s="11" t="n">
        <f aca="false">SUM(E4:E4)</f>
        <v>250</v>
      </c>
    </row>
    <row r="12" customFormat="false" ht="15" hidden="false" customHeight="false" outlineLevel="0" collapsed="false">
      <c r="A12" s="20"/>
      <c r="C12" s="21"/>
      <c r="D12" s="21"/>
    </row>
    <row r="13" customFormat="false" ht="15" hidden="false" customHeight="false" outlineLevel="0" collapsed="false">
      <c r="A13" s="20"/>
      <c r="C13" s="22"/>
    </row>
  </sheetData>
  <autoFilter ref="A3:C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B9BD5"/>
    <pageSetUpPr fitToPage="true"/>
  </sheetPr>
  <dimension ref="A1:B239"/>
  <sheetViews>
    <sheetView showFormulas="false" showGridLines="true" showRowColHeaders="true" showZeros="true" rightToLeft="false" tabSelected="false" showOutlineSymbols="true" defaultGridColor="true" view="normal" topLeftCell="A25" colorId="64" zoomScale="65" zoomScaleNormal="65" zoomScalePageLayoutView="100" workbookViewId="0">
      <selection pane="topLeft" activeCell="A211" activeCellId="0" sqref="A21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3.43"/>
    <col collapsed="false" customWidth="true" hidden="false" outlineLevel="0" max="2" min="2" style="0" width="96.86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13.57"/>
    <col collapsed="false" customWidth="true" hidden="false" outlineLevel="0" max="10" min="10" style="0" width="13.71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0" width="13.71"/>
  </cols>
  <sheetData>
    <row r="1" customFormat="false" ht="15" hidden="false" customHeight="false" outlineLevel="0" collapsed="false">
      <c r="A1" s="44" t="s">
        <v>134</v>
      </c>
      <c r="B1" s="45" t="s">
        <v>135</v>
      </c>
    </row>
    <row r="2" customFormat="false" ht="15" hidden="false" customHeight="false" outlineLevel="0" collapsed="false">
      <c r="A2" s="44"/>
      <c r="B2" s="45"/>
    </row>
    <row r="3" customFormat="false" ht="15" hidden="false" customHeight="true" outlineLevel="0" collapsed="false">
      <c r="A3" s="44"/>
      <c r="B3" s="45"/>
    </row>
    <row r="4" customFormat="false" ht="49.5" hidden="false" customHeight="true" outlineLevel="0" collapsed="false">
      <c r="A4" s="46" t="n">
        <v>0</v>
      </c>
      <c r="B4" s="47" t="s">
        <v>136</v>
      </c>
    </row>
    <row r="5" customFormat="false" ht="49.5" hidden="false" customHeight="true" outlineLevel="0" collapsed="false">
      <c r="A5" s="46" t="n">
        <v>0.0416666666666667</v>
      </c>
      <c r="B5" s="47" t="s">
        <v>136</v>
      </c>
    </row>
    <row r="6" customFormat="false" ht="49.5" hidden="false" customHeight="true" outlineLevel="0" collapsed="false">
      <c r="A6" s="46" t="n">
        <v>0.0833333333333333</v>
      </c>
      <c r="B6" s="47" t="s">
        <v>136</v>
      </c>
    </row>
    <row r="7" customFormat="false" ht="49.5" hidden="false" customHeight="true" outlineLevel="0" collapsed="false">
      <c r="A7" s="46" t="n">
        <v>0.125</v>
      </c>
      <c r="B7" s="47" t="s">
        <v>136</v>
      </c>
    </row>
    <row r="8" customFormat="false" ht="49.5" hidden="false" customHeight="true" outlineLevel="0" collapsed="false">
      <c r="A8" s="46" t="n">
        <v>0.166666666666667</v>
      </c>
      <c r="B8" s="47" t="s">
        <v>137</v>
      </c>
    </row>
    <row r="9" customFormat="false" ht="49.5" hidden="false" customHeight="true" outlineLevel="0" collapsed="false">
      <c r="A9" s="46" t="n">
        <v>0.208333333333333</v>
      </c>
      <c r="B9" s="47" t="s">
        <v>137</v>
      </c>
    </row>
    <row r="10" customFormat="false" ht="49.5" hidden="false" customHeight="true" outlineLevel="0" collapsed="false">
      <c r="A10" s="46" t="n">
        <v>0.25</v>
      </c>
      <c r="B10" s="47" t="s">
        <v>137</v>
      </c>
    </row>
    <row r="11" customFormat="false" ht="49.5" hidden="false" customHeight="true" outlineLevel="0" collapsed="false">
      <c r="A11" s="46" t="n">
        <v>0.291666666666667</v>
      </c>
      <c r="B11" s="47" t="s">
        <v>137</v>
      </c>
    </row>
    <row r="12" customFormat="false" ht="49.5" hidden="false" customHeight="true" outlineLevel="0" collapsed="false">
      <c r="A12" s="46" t="n">
        <v>0.333333333333333</v>
      </c>
      <c r="B12" s="47" t="s">
        <v>137</v>
      </c>
    </row>
    <row r="13" customFormat="false" ht="49.5" hidden="false" customHeight="true" outlineLevel="0" collapsed="false">
      <c r="A13" s="46" t="n">
        <v>0.375</v>
      </c>
      <c r="B13" s="47" t="s">
        <v>137</v>
      </c>
    </row>
    <row r="14" customFormat="false" ht="49.5" hidden="false" customHeight="true" outlineLevel="0" collapsed="false">
      <c r="A14" s="46" t="n">
        <v>0.416666666666667</v>
      </c>
      <c r="B14" s="47" t="s">
        <v>137</v>
      </c>
    </row>
    <row r="15" customFormat="false" ht="49.5" hidden="false" customHeight="true" outlineLevel="0" collapsed="false">
      <c r="A15" s="46" t="n">
        <v>0.458333333333333</v>
      </c>
      <c r="B15" s="47" t="s">
        <v>137</v>
      </c>
    </row>
    <row r="16" customFormat="false" ht="49.5" hidden="false" customHeight="true" outlineLevel="0" collapsed="false">
      <c r="A16" s="46" t="n">
        <v>0.5</v>
      </c>
      <c r="B16" s="47" t="s">
        <v>98</v>
      </c>
    </row>
    <row r="17" customFormat="false" ht="49.5" hidden="false" customHeight="true" outlineLevel="0" collapsed="false">
      <c r="A17" s="46" t="n">
        <v>0.541666666666667</v>
      </c>
      <c r="B17" s="47" t="s">
        <v>47</v>
      </c>
    </row>
    <row r="18" customFormat="false" ht="49.5" hidden="false" customHeight="true" outlineLevel="0" collapsed="false">
      <c r="A18" s="46" t="n">
        <v>0.583333333333333</v>
      </c>
      <c r="B18" s="47" t="s">
        <v>138</v>
      </c>
    </row>
    <row r="19" customFormat="false" ht="49.5" hidden="false" customHeight="true" outlineLevel="0" collapsed="false">
      <c r="A19" s="46" t="n">
        <v>0.625</v>
      </c>
      <c r="B19" s="47" t="s">
        <v>138</v>
      </c>
    </row>
    <row r="20" customFormat="false" ht="49.5" hidden="false" customHeight="true" outlineLevel="0" collapsed="false">
      <c r="A20" s="46" t="n">
        <v>0.666666666666667</v>
      </c>
      <c r="B20" s="47" t="s">
        <v>138</v>
      </c>
    </row>
    <row r="21" customFormat="false" ht="49.5" hidden="false" customHeight="true" outlineLevel="0" collapsed="false">
      <c r="A21" s="46" t="n">
        <v>0.708333333333333</v>
      </c>
      <c r="B21" s="47" t="s">
        <v>138</v>
      </c>
    </row>
    <row r="22" customFormat="false" ht="49.5" hidden="false" customHeight="true" outlineLevel="0" collapsed="false">
      <c r="A22" s="46" t="n">
        <v>0.75</v>
      </c>
      <c r="B22" s="47" t="s">
        <v>138</v>
      </c>
    </row>
    <row r="23" customFormat="false" ht="49.5" hidden="false" customHeight="true" outlineLevel="0" collapsed="false">
      <c r="A23" s="46" t="n">
        <v>0.791666666666666</v>
      </c>
      <c r="B23" s="47" t="s">
        <v>139</v>
      </c>
    </row>
    <row r="24" customFormat="false" ht="49.5" hidden="false" customHeight="true" outlineLevel="0" collapsed="false">
      <c r="A24" s="46" t="n">
        <v>0.833333333333333</v>
      </c>
      <c r="B24" s="47" t="s">
        <v>140</v>
      </c>
    </row>
    <row r="25" customFormat="false" ht="49.5" hidden="false" customHeight="true" outlineLevel="0" collapsed="false">
      <c r="A25" s="46" t="n">
        <v>0.875</v>
      </c>
      <c r="B25" s="47" t="s">
        <v>136</v>
      </c>
    </row>
    <row r="26" customFormat="false" ht="49.5" hidden="false" customHeight="true" outlineLevel="0" collapsed="false">
      <c r="A26" s="46" t="n">
        <v>0.916666666666666</v>
      </c>
      <c r="B26" s="47" t="s">
        <v>136</v>
      </c>
    </row>
    <row r="27" customFormat="false" ht="49.5" hidden="false" customHeight="true" outlineLevel="0" collapsed="false">
      <c r="A27" s="46" t="n">
        <v>0.958333333333333</v>
      </c>
      <c r="B27" s="47" t="s">
        <v>136</v>
      </c>
    </row>
    <row r="28" customFormat="false" ht="20.25" hidden="false" customHeight="false" outlineLevel="0" collapsed="false">
      <c r="A28" s="48"/>
      <c r="B28" s="49"/>
    </row>
    <row r="29" customFormat="false" ht="20.25" hidden="false" customHeight="false" outlineLevel="0" collapsed="false">
      <c r="A29" s="50" t="s">
        <v>141</v>
      </c>
      <c r="B29" s="51"/>
    </row>
    <row r="30" customFormat="false" ht="19.5" hidden="false" customHeight="false" outlineLevel="0" collapsed="false">
      <c r="A30" s="52"/>
      <c r="B30" s="49"/>
    </row>
    <row r="31" customFormat="false" ht="15" hidden="false" customHeight="false" outlineLevel="0" collapsed="false">
      <c r="A31" s="52"/>
      <c r="B31" s="52"/>
    </row>
    <row r="32" customFormat="false" ht="15" hidden="false" customHeight="false" outlineLevel="0" collapsed="false">
      <c r="A32" s="52"/>
      <c r="B32" s="52"/>
    </row>
    <row r="33" customFormat="false" ht="19.5" hidden="false" customHeight="false" outlineLevel="0" collapsed="false">
      <c r="A33" s="52"/>
      <c r="B33" s="49"/>
    </row>
    <row r="34" customFormat="false" ht="24.75" hidden="false" customHeight="true" outlineLevel="0" collapsed="false">
      <c r="A34" s="44" t="s">
        <v>134</v>
      </c>
      <c r="B34" s="45" t="s">
        <v>142</v>
      </c>
    </row>
    <row r="35" customFormat="false" ht="24.75" hidden="false" customHeight="true" outlineLevel="0" collapsed="false">
      <c r="A35" s="44"/>
      <c r="B35" s="45"/>
    </row>
    <row r="36" customFormat="false" ht="24.75" hidden="false" customHeight="true" outlineLevel="0" collapsed="false">
      <c r="A36" s="44"/>
      <c r="B36" s="45"/>
    </row>
    <row r="37" customFormat="false" ht="49.5" hidden="false" customHeight="true" outlineLevel="0" collapsed="false">
      <c r="A37" s="46" t="n">
        <v>0</v>
      </c>
      <c r="B37" s="47" t="s">
        <v>136</v>
      </c>
    </row>
    <row r="38" customFormat="false" ht="49.5" hidden="false" customHeight="true" outlineLevel="0" collapsed="false">
      <c r="A38" s="46" t="n">
        <v>0.0416666666666667</v>
      </c>
      <c r="B38" s="47" t="s">
        <v>136</v>
      </c>
    </row>
    <row r="39" customFormat="false" ht="49.5" hidden="false" customHeight="true" outlineLevel="0" collapsed="false">
      <c r="A39" s="46" t="n">
        <v>0.0833333333333333</v>
      </c>
      <c r="B39" s="47" t="s">
        <v>136</v>
      </c>
    </row>
    <row r="40" customFormat="false" ht="49.5" hidden="false" customHeight="true" outlineLevel="0" collapsed="false">
      <c r="A40" s="46" t="n">
        <v>0.125</v>
      </c>
      <c r="B40" s="47" t="s">
        <v>136</v>
      </c>
    </row>
    <row r="41" customFormat="false" ht="49.5" hidden="false" customHeight="true" outlineLevel="0" collapsed="false">
      <c r="A41" s="46" t="n">
        <v>0.166666666666667</v>
      </c>
      <c r="B41" s="47" t="s">
        <v>137</v>
      </c>
    </row>
    <row r="42" customFormat="false" ht="49.5" hidden="false" customHeight="true" outlineLevel="0" collapsed="false">
      <c r="A42" s="46" t="n">
        <v>0.208333333333333</v>
      </c>
      <c r="B42" s="47" t="s">
        <v>137</v>
      </c>
    </row>
    <row r="43" customFormat="false" ht="49.5" hidden="false" customHeight="true" outlineLevel="0" collapsed="false">
      <c r="A43" s="46" t="n">
        <v>0.25</v>
      </c>
      <c r="B43" s="47" t="s">
        <v>137</v>
      </c>
    </row>
    <row r="44" customFormat="false" ht="49.5" hidden="false" customHeight="true" outlineLevel="0" collapsed="false">
      <c r="A44" s="46" t="n">
        <v>0.291666666666667</v>
      </c>
      <c r="B44" s="47" t="s">
        <v>137</v>
      </c>
    </row>
    <row r="45" customFormat="false" ht="49.5" hidden="false" customHeight="true" outlineLevel="0" collapsed="false">
      <c r="A45" s="46" t="n">
        <v>0.333333333333333</v>
      </c>
      <c r="B45" s="47" t="s">
        <v>137</v>
      </c>
    </row>
    <row r="46" customFormat="false" ht="49.5" hidden="false" customHeight="true" outlineLevel="0" collapsed="false">
      <c r="A46" s="46" t="n">
        <v>0.375</v>
      </c>
      <c r="B46" s="47" t="s">
        <v>137</v>
      </c>
    </row>
    <row r="47" customFormat="false" ht="49.5" hidden="false" customHeight="true" outlineLevel="0" collapsed="false">
      <c r="A47" s="46" t="n">
        <v>0.416666666666667</v>
      </c>
      <c r="B47" s="47" t="s">
        <v>137</v>
      </c>
    </row>
    <row r="48" customFormat="false" ht="49.5" hidden="false" customHeight="true" outlineLevel="0" collapsed="false">
      <c r="A48" s="46" t="n">
        <v>0.458333333333333</v>
      </c>
      <c r="B48" s="47" t="s">
        <v>137</v>
      </c>
    </row>
    <row r="49" customFormat="false" ht="49.5" hidden="false" customHeight="true" outlineLevel="0" collapsed="false">
      <c r="A49" s="46" t="n">
        <v>0.5</v>
      </c>
      <c r="B49" s="47" t="s">
        <v>98</v>
      </c>
    </row>
    <row r="50" customFormat="false" ht="49.5" hidden="false" customHeight="true" outlineLevel="0" collapsed="false">
      <c r="A50" s="46" t="n">
        <v>0.541666666666667</v>
      </c>
      <c r="B50" s="47" t="s">
        <v>47</v>
      </c>
    </row>
    <row r="51" customFormat="false" ht="49.5" hidden="false" customHeight="true" outlineLevel="0" collapsed="false">
      <c r="A51" s="46" t="n">
        <v>0.583333333333333</v>
      </c>
      <c r="B51" s="47" t="s">
        <v>138</v>
      </c>
    </row>
    <row r="52" customFormat="false" ht="49.5" hidden="false" customHeight="true" outlineLevel="0" collapsed="false">
      <c r="A52" s="46" t="n">
        <v>0.625</v>
      </c>
      <c r="B52" s="47" t="s">
        <v>138</v>
      </c>
    </row>
    <row r="53" customFormat="false" ht="49.5" hidden="false" customHeight="true" outlineLevel="0" collapsed="false">
      <c r="A53" s="46" t="n">
        <v>0.666666666666667</v>
      </c>
      <c r="B53" s="47" t="s">
        <v>138</v>
      </c>
    </row>
    <row r="54" customFormat="false" ht="49.5" hidden="false" customHeight="true" outlineLevel="0" collapsed="false">
      <c r="A54" s="46" t="n">
        <v>0.708333333333333</v>
      </c>
      <c r="B54" s="47" t="s">
        <v>138</v>
      </c>
    </row>
    <row r="55" customFormat="false" ht="49.5" hidden="false" customHeight="true" outlineLevel="0" collapsed="false">
      <c r="A55" s="46" t="n">
        <v>0.75</v>
      </c>
      <c r="B55" s="47" t="s">
        <v>138</v>
      </c>
    </row>
    <row r="56" customFormat="false" ht="49.5" hidden="false" customHeight="true" outlineLevel="0" collapsed="false">
      <c r="A56" s="46" t="n">
        <v>0.791666666666666</v>
      </c>
      <c r="B56" s="47" t="s">
        <v>143</v>
      </c>
    </row>
    <row r="57" customFormat="false" ht="49.5" hidden="false" customHeight="true" outlineLevel="0" collapsed="false">
      <c r="A57" s="46" t="n">
        <v>0.833333333333333</v>
      </c>
      <c r="B57" s="47" t="s">
        <v>140</v>
      </c>
    </row>
    <row r="58" customFormat="false" ht="49.5" hidden="false" customHeight="true" outlineLevel="0" collapsed="false">
      <c r="A58" s="46" t="n">
        <v>0.875</v>
      </c>
      <c r="B58" s="47" t="s">
        <v>136</v>
      </c>
    </row>
    <row r="59" customFormat="false" ht="49.5" hidden="false" customHeight="true" outlineLevel="0" collapsed="false">
      <c r="A59" s="46" t="n">
        <v>0.916666666666666</v>
      </c>
      <c r="B59" s="47" t="s">
        <v>136</v>
      </c>
    </row>
    <row r="60" customFormat="false" ht="49.5" hidden="false" customHeight="true" outlineLevel="0" collapsed="false">
      <c r="A60" s="46" t="n">
        <v>0.958333333333333</v>
      </c>
      <c r="B60" s="47" t="s">
        <v>136</v>
      </c>
    </row>
    <row r="61" customFormat="false" ht="49.5" hidden="false" customHeight="true" outlineLevel="0" collapsed="false"/>
    <row r="62" customFormat="false" ht="49.5" hidden="false" customHeight="true" outlineLevel="0" collapsed="false">
      <c r="A62" s="50" t="s">
        <v>141</v>
      </c>
      <c r="B62" s="51"/>
    </row>
    <row r="63" customFormat="false" ht="49.5" hidden="false" customHeight="true" outlineLevel="0" collapsed="false"/>
    <row r="64" customFormat="false" ht="24.75" hidden="false" customHeight="true" outlineLevel="0" collapsed="false">
      <c r="A64" s="44" t="s">
        <v>134</v>
      </c>
      <c r="B64" s="45" t="s">
        <v>144</v>
      </c>
    </row>
    <row r="65" customFormat="false" ht="24.75" hidden="false" customHeight="true" outlineLevel="0" collapsed="false">
      <c r="A65" s="44"/>
      <c r="B65" s="45"/>
    </row>
    <row r="66" customFormat="false" ht="24.75" hidden="false" customHeight="true" outlineLevel="0" collapsed="false">
      <c r="A66" s="44"/>
      <c r="B66" s="45"/>
    </row>
    <row r="67" customFormat="false" ht="49.5" hidden="false" customHeight="true" outlineLevel="0" collapsed="false">
      <c r="A67" s="46" t="n">
        <v>0</v>
      </c>
      <c r="B67" s="47" t="s">
        <v>136</v>
      </c>
    </row>
    <row r="68" customFormat="false" ht="49.5" hidden="false" customHeight="true" outlineLevel="0" collapsed="false">
      <c r="A68" s="46" t="n">
        <v>0.0416666666666667</v>
      </c>
      <c r="B68" s="47" t="s">
        <v>136</v>
      </c>
    </row>
    <row r="69" customFormat="false" ht="49.5" hidden="false" customHeight="true" outlineLevel="0" collapsed="false">
      <c r="A69" s="46" t="n">
        <v>0.0833333333333333</v>
      </c>
      <c r="B69" s="47" t="s">
        <v>136</v>
      </c>
    </row>
    <row r="70" customFormat="false" ht="49.5" hidden="false" customHeight="true" outlineLevel="0" collapsed="false">
      <c r="A70" s="46" t="n">
        <v>0.125</v>
      </c>
      <c r="B70" s="47" t="s">
        <v>136</v>
      </c>
    </row>
    <row r="71" customFormat="false" ht="49.5" hidden="false" customHeight="true" outlineLevel="0" collapsed="false">
      <c r="A71" s="46" t="n">
        <v>0.166666666666667</v>
      </c>
      <c r="B71" s="47" t="s">
        <v>137</v>
      </c>
    </row>
    <row r="72" customFormat="false" ht="49.5" hidden="false" customHeight="true" outlineLevel="0" collapsed="false">
      <c r="A72" s="46" t="n">
        <v>0.208333333333333</v>
      </c>
      <c r="B72" s="47" t="s">
        <v>137</v>
      </c>
    </row>
    <row r="73" customFormat="false" ht="49.5" hidden="false" customHeight="true" outlineLevel="0" collapsed="false">
      <c r="A73" s="46" t="n">
        <v>0.25</v>
      </c>
      <c r="B73" s="47" t="s">
        <v>137</v>
      </c>
    </row>
    <row r="74" customFormat="false" ht="49.5" hidden="false" customHeight="true" outlineLevel="0" collapsed="false">
      <c r="A74" s="46" t="n">
        <v>0.291666666666667</v>
      </c>
      <c r="B74" s="47" t="s">
        <v>137</v>
      </c>
    </row>
    <row r="75" customFormat="false" ht="49.5" hidden="false" customHeight="true" outlineLevel="0" collapsed="false">
      <c r="A75" s="46" t="n">
        <v>0.333333333333333</v>
      </c>
      <c r="B75" s="47" t="s">
        <v>137</v>
      </c>
    </row>
    <row r="76" customFormat="false" ht="49.5" hidden="false" customHeight="true" outlineLevel="0" collapsed="false">
      <c r="A76" s="46" t="n">
        <v>0.375</v>
      </c>
      <c r="B76" s="47" t="s">
        <v>137</v>
      </c>
    </row>
    <row r="77" customFormat="false" ht="49.5" hidden="false" customHeight="true" outlineLevel="0" collapsed="false">
      <c r="A77" s="46" t="n">
        <v>0.416666666666667</v>
      </c>
      <c r="B77" s="47" t="s">
        <v>137</v>
      </c>
    </row>
    <row r="78" customFormat="false" ht="49.5" hidden="false" customHeight="true" outlineLevel="0" collapsed="false">
      <c r="A78" s="46" t="n">
        <v>0.458333333333333</v>
      </c>
      <c r="B78" s="47" t="s">
        <v>137</v>
      </c>
    </row>
    <row r="79" customFormat="false" ht="49.5" hidden="false" customHeight="true" outlineLevel="0" collapsed="false">
      <c r="A79" s="46" t="n">
        <v>0.5</v>
      </c>
      <c r="B79" s="47" t="s">
        <v>136</v>
      </c>
    </row>
    <row r="80" customFormat="false" ht="49.5" hidden="false" customHeight="true" outlineLevel="0" collapsed="false">
      <c r="A80" s="46" t="n">
        <v>0.541666666666667</v>
      </c>
      <c r="B80" s="47" t="s">
        <v>136</v>
      </c>
    </row>
    <row r="81" customFormat="false" ht="49.5" hidden="false" customHeight="true" outlineLevel="0" collapsed="false">
      <c r="A81" s="46" t="n">
        <v>0.583333333333333</v>
      </c>
      <c r="B81" s="47" t="s">
        <v>47</v>
      </c>
    </row>
    <row r="82" customFormat="false" ht="49.5" hidden="false" customHeight="true" outlineLevel="0" collapsed="false">
      <c r="A82" s="46" t="n">
        <v>0.625</v>
      </c>
      <c r="B82" s="47" t="s">
        <v>145</v>
      </c>
    </row>
    <row r="83" customFormat="false" ht="49.5" hidden="false" customHeight="true" outlineLevel="0" collapsed="false">
      <c r="A83" s="46" t="n">
        <v>0.666666666666667</v>
      </c>
      <c r="B83" s="47" t="s">
        <v>146</v>
      </c>
    </row>
    <row r="84" customFormat="false" ht="49.5" hidden="false" customHeight="true" outlineLevel="0" collapsed="false">
      <c r="A84" s="46" t="n">
        <v>0.708333333333333</v>
      </c>
      <c r="B84" s="47" t="s">
        <v>146</v>
      </c>
    </row>
    <row r="85" customFormat="false" ht="49.5" hidden="false" customHeight="true" outlineLevel="0" collapsed="false">
      <c r="A85" s="46" t="n">
        <v>0.75</v>
      </c>
      <c r="B85" s="47" t="s">
        <v>146</v>
      </c>
    </row>
    <row r="86" customFormat="false" ht="49.5" hidden="false" customHeight="true" outlineLevel="0" collapsed="false">
      <c r="A86" s="46" t="n">
        <v>0.791666666666666</v>
      </c>
      <c r="B86" s="47" t="s">
        <v>98</v>
      </c>
    </row>
    <row r="87" customFormat="false" ht="49.5" hidden="false" customHeight="true" outlineLevel="0" collapsed="false">
      <c r="A87" s="46" t="n">
        <v>0.833333333333333</v>
      </c>
      <c r="B87" s="47" t="s">
        <v>147</v>
      </c>
    </row>
    <row r="88" customFormat="false" ht="49.5" hidden="false" customHeight="true" outlineLevel="0" collapsed="false">
      <c r="A88" s="46" t="n">
        <v>0.875</v>
      </c>
      <c r="B88" s="47" t="s">
        <v>148</v>
      </c>
    </row>
    <row r="89" customFormat="false" ht="49.5" hidden="false" customHeight="true" outlineLevel="0" collapsed="false">
      <c r="A89" s="46" t="n">
        <v>0.916666666666666</v>
      </c>
      <c r="B89" s="47" t="s">
        <v>136</v>
      </c>
    </row>
    <row r="90" customFormat="false" ht="49.5" hidden="false" customHeight="true" outlineLevel="0" collapsed="false">
      <c r="A90" s="46" t="n">
        <v>0.958333333333333</v>
      </c>
      <c r="B90" s="47" t="s">
        <v>136</v>
      </c>
    </row>
    <row r="91" customFormat="false" ht="49.5" hidden="false" customHeight="true" outlineLevel="0" collapsed="false"/>
    <row r="92" customFormat="false" ht="49.5" hidden="false" customHeight="true" outlineLevel="0" collapsed="false">
      <c r="A92" s="50" t="s">
        <v>141</v>
      </c>
      <c r="B92" s="51"/>
    </row>
    <row r="93" customFormat="false" ht="49.5" hidden="false" customHeight="true" outlineLevel="0" collapsed="false"/>
    <row r="94" customFormat="false" ht="24.75" hidden="false" customHeight="true" outlineLevel="0" collapsed="false">
      <c r="A94" s="44" t="s">
        <v>134</v>
      </c>
      <c r="B94" s="45" t="s">
        <v>149</v>
      </c>
    </row>
    <row r="95" customFormat="false" ht="24.75" hidden="false" customHeight="true" outlineLevel="0" collapsed="false">
      <c r="A95" s="44"/>
      <c r="B95" s="45"/>
    </row>
    <row r="96" customFormat="false" ht="24.75" hidden="false" customHeight="true" outlineLevel="0" collapsed="false">
      <c r="A96" s="44"/>
      <c r="B96" s="45"/>
    </row>
    <row r="97" customFormat="false" ht="49.5" hidden="false" customHeight="true" outlineLevel="0" collapsed="false">
      <c r="A97" s="46" t="n">
        <v>0</v>
      </c>
      <c r="B97" s="47" t="s">
        <v>136</v>
      </c>
    </row>
    <row r="98" customFormat="false" ht="49.5" hidden="false" customHeight="true" outlineLevel="0" collapsed="false">
      <c r="A98" s="46" t="n">
        <v>0.0416666666666667</v>
      </c>
      <c r="B98" s="47" t="s">
        <v>136</v>
      </c>
    </row>
    <row r="99" customFormat="false" ht="49.5" hidden="false" customHeight="true" outlineLevel="0" collapsed="false">
      <c r="A99" s="46" t="n">
        <v>0.0833333333333333</v>
      </c>
      <c r="B99" s="47" t="s">
        <v>136</v>
      </c>
    </row>
    <row r="100" customFormat="false" ht="49.5" hidden="false" customHeight="true" outlineLevel="0" collapsed="false">
      <c r="A100" s="46" t="n">
        <v>0.125</v>
      </c>
      <c r="B100" s="47" t="s">
        <v>136</v>
      </c>
    </row>
    <row r="101" customFormat="false" ht="49.5" hidden="false" customHeight="true" outlineLevel="0" collapsed="false">
      <c r="A101" s="46" t="n">
        <v>0.166666666666667</v>
      </c>
      <c r="B101" s="47" t="s">
        <v>137</v>
      </c>
    </row>
    <row r="102" customFormat="false" ht="49.5" hidden="false" customHeight="true" outlineLevel="0" collapsed="false">
      <c r="A102" s="46" t="n">
        <v>0.208333333333333</v>
      </c>
      <c r="B102" s="47" t="s">
        <v>137</v>
      </c>
    </row>
    <row r="103" customFormat="false" ht="49.5" hidden="false" customHeight="true" outlineLevel="0" collapsed="false">
      <c r="A103" s="46" t="n">
        <v>0.25</v>
      </c>
      <c r="B103" s="47" t="s">
        <v>137</v>
      </c>
    </row>
    <row r="104" customFormat="false" ht="49.5" hidden="false" customHeight="true" outlineLevel="0" collapsed="false">
      <c r="A104" s="46" t="n">
        <v>0.291666666666667</v>
      </c>
      <c r="B104" s="47" t="s">
        <v>137</v>
      </c>
    </row>
    <row r="105" customFormat="false" ht="49.5" hidden="false" customHeight="true" outlineLevel="0" collapsed="false">
      <c r="A105" s="46" t="n">
        <v>0.333333333333333</v>
      </c>
      <c r="B105" s="47" t="s">
        <v>137</v>
      </c>
    </row>
    <row r="106" customFormat="false" ht="49.5" hidden="false" customHeight="true" outlineLevel="0" collapsed="false">
      <c r="A106" s="46" t="n">
        <v>0.375</v>
      </c>
      <c r="B106" s="47" t="s">
        <v>137</v>
      </c>
    </row>
    <row r="107" customFormat="false" ht="49.5" hidden="false" customHeight="true" outlineLevel="0" collapsed="false">
      <c r="A107" s="46" t="n">
        <v>0.416666666666667</v>
      </c>
      <c r="B107" s="47" t="s">
        <v>137</v>
      </c>
    </row>
    <row r="108" customFormat="false" ht="49.5" hidden="false" customHeight="true" outlineLevel="0" collapsed="false">
      <c r="A108" s="46" t="n">
        <v>0.458333333333333</v>
      </c>
      <c r="B108" s="47" t="s">
        <v>137</v>
      </c>
    </row>
    <row r="109" customFormat="false" ht="49.5" hidden="false" customHeight="true" outlineLevel="0" collapsed="false">
      <c r="A109" s="46" t="n">
        <v>0.5</v>
      </c>
      <c r="B109" s="47" t="s">
        <v>136</v>
      </c>
    </row>
    <row r="110" customFormat="false" ht="49.5" hidden="false" customHeight="true" outlineLevel="0" collapsed="false">
      <c r="A110" s="46" t="n">
        <v>0.541666666666667</v>
      </c>
      <c r="B110" s="47" t="s">
        <v>136</v>
      </c>
    </row>
    <row r="111" customFormat="false" ht="49.5" hidden="false" customHeight="true" outlineLevel="0" collapsed="false">
      <c r="A111" s="46" t="n">
        <v>0.583333333333333</v>
      </c>
      <c r="B111" s="47" t="s">
        <v>150</v>
      </c>
    </row>
    <row r="112" customFormat="false" ht="49.5" hidden="false" customHeight="true" outlineLevel="0" collapsed="false">
      <c r="A112" s="46" t="n">
        <v>0.625</v>
      </c>
      <c r="B112" s="47" t="s">
        <v>150</v>
      </c>
    </row>
    <row r="113" customFormat="false" ht="49.5" hidden="false" customHeight="true" outlineLevel="0" collapsed="false">
      <c r="A113" s="46" t="n">
        <v>0.666666666666667</v>
      </c>
      <c r="B113" s="47" t="s">
        <v>151</v>
      </c>
    </row>
    <row r="114" customFormat="false" ht="49.5" hidden="false" customHeight="true" outlineLevel="0" collapsed="false">
      <c r="A114" s="46" t="n">
        <v>0.708333333333333</v>
      </c>
      <c r="B114" s="47" t="s">
        <v>151</v>
      </c>
    </row>
    <row r="115" customFormat="false" ht="49.5" hidden="false" customHeight="true" outlineLevel="0" collapsed="false">
      <c r="A115" s="46" t="n">
        <v>0.75</v>
      </c>
      <c r="B115" s="47" t="s">
        <v>151</v>
      </c>
    </row>
    <row r="116" customFormat="false" ht="49.5" hidden="false" customHeight="true" outlineLevel="0" collapsed="false">
      <c r="A116" s="46" t="n">
        <v>0.791666666666666</v>
      </c>
      <c r="B116" s="47" t="s">
        <v>151</v>
      </c>
    </row>
    <row r="117" customFormat="false" ht="49.5" hidden="false" customHeight="true" outlineLevel="0" collapsed="false">
      <c r="A117" s="46" t="n">
        <v>0.833333333333333</v>
      </c>
      <c r="B117" s="47" t="s">
        <v>98</v>
      </c>
    </row>
    <row r="118" customFormat="false" ht="49.5" hidden="false" customHeight="true" outlineLevel="0" collapsed="false">
      <c r="A118" s="46" t="n">
        <v>0.875</v>
      </c>
      <c r="B118" s="47" t="s">
        <v>152</v>
      </c>
    </row>
    <row r="119" customFormat="false" ht="49.5" hidden="false" customHeight="true" outlineLevel="0" collapsed="false">
      <c r="A119" s="46" t="n">
        <v>0.916666666666666</v>
      </c>
      <c r="B119" s="47" t="s">
        <v>136</v>
      </c>
    </row>
    <row r="120" customFormat="false" ht="49.5" hidden="false" customHeight="true" outlineLevel="0" collapsed="false">
      <c r="A120" s="46" t="n">
        <v>0.958333333333333</v>
      </c>
      <c r="B120" s="47" t="s">
        <v>136</v>
      </c>
    </row>
    <row r="121" customFormat="false" ht="49.5" hidden="false" customHeight="true" outlineLevel="0" collapsed="false"/>
    <row r="122" customFormat="false" ht="49.5" hidden="false" customHeight="true" outlineLevel="0" collapsed="false">
      <c r="A122" s="50" t="s">
        <v>141</v>
      </c>
      <c r="B122" s="51"/>
    </row>
    <row r="123" customFormat="false" ht="49.5" hidden="false" customHeight="true" outlineLevel="0" collapsed="false"/>
    <row r="124" customFormat="false" ht="24.75" hidden="false" customHeight="true" outlineLevel="0" collapsed="false">
      <c r="A124" s="44" t="s">
        <v>134</v>
      </c>
      <c r="B124" s="45" t="s">
        <v>153</v>
      </c>
    </row>
    <row r="125" customFormat="false" ht="24.75" hidden="false" customHeight="true" outlineLevel="0" collapsed="false">
      <c r="A125" s="44"/>
      <c r="B125" s="45"/>
    </row>
    <row r="126" customFormat="false" ht="24.75" hidden="false" customHeight="true" outlineLevel="0" collapsed="false">
      <c r="A126" s="44"/>
      <c r="B126" s="45"/>
    </row>
    <row r="127" customFormat="false" ht="49.5" hidden="false" customHeight="true" outlineLevel="0" collapsed="false">
      <c r="A127" s="46" t="n">
        <v>0</v>
      </c>
      <c r="B127" s="47" t="s">
        <v>136</v>
      </c>
    </row>
    <row r="128" customFormat="false" ht="49.5" hidden="false" customHeight="true" outlineLevel="0" collapsed="false">
      <c r="A128" s="46" t="n">
        <v>0.0416666666666667</v>
      </c>
      <c r="B128" s="47" t="s">
        <v>136</v>
      </c>
    </row>
    <row r="129" customFormat="false" ht="49.5" hidden="false" customHeight="true" outlineLevel="0" collapsed="false">
      <c r="A129" s="46" t="n">
        <v>0.0833333333333333</v>
      </c>
      <c r="B129" s="47" t="s">
        <v>136</v>
      </c>
    </row>
    <row r="130" customFormat="false" ht="49.5" hidden="false" customHeight="true" outlineLevel="0" collapsed="false">
      <c r="A130" s="46" t="n">
        <v>0.125</v>
      </c>
      <c r="B130" s="47" t="s">
        <v>136</v>
      </c>
    </row>
    <row r="131" customFormat="false" ht="49.5" hidden="false" customHeight="true" outlineLevel="0" collapsed="false">
      <c r="A131" s="46" t="n">
        <v>0.166666666666667</v>
      </c>
      <c r="B131" s="47" t="s">
        <v>137</v>
      </c>
    </row>
    <row r="132" customFormat="false" ht="49.5" hidden="false" customHeight="true" outlineLevel="0" collapsed="false">
      <c r="A132" s="46" t="n">
        <v>0.208333333333333</v>
      </c>
      <c r="B132" s="47" t="s">
        <v>137</v>
      </c>
    </row>
    <row r="133" customFormat="false" ht="49.5" hidden="false" customHeight="true" outlineLevel="0" collapsed="false">
      <c r="A133" s="46" t="n">
        <v>0.25</v>
      </c>
      <c r="B133" s="47" t="s">
        <v>137</v>
      </c>
    </row>
    <row r="134" customFormat="false" ht="49.5" hidden="false" customHeight="true" outlineLevel="0" collapsed="false">
      <c r="A134" s="46" t="n">
        <v>0.291666666666667</v>
      </c>
      <c r="B134" s="47" t="s">
        <v>137</v>
      </c>
    </row>
    <row r="135" customFormat="false" ht="49.5" hidden="false" customHeight="true" outlineLevel="0" collapsed="false">
      <c r="A135" s="46" t="n">
        <v>0.333333333333333</v>
      </c>
      <c r="B135" s="47" t="s">
        <v>137</v>
      </c>
    </row>
    <row r="136" customFormat="false" ht="49.5" hidden="false" customHeight="true" outlineLevel="0" collapsed="false">
      <c r="A136" s="46" t="n">
        <v>0.375</v>
      </c>
      <c r="B136" s="47" t="s">
        <v>137</v>
      </c>
    </row>
    <row r="137" customFormat="false" ht="49.5" hidden="false" customHeight="true" outlineLevel="0" collapsed="false">
      <c r="A137" s="46" t="n">
        <v>0.416666666666667</v>
      </c>
      <c r="B137" s="47" t="s">
        <v>137</v>
      </c>
    </row>
    <row r="138" customFormat="false" ht="49.5" hidden="false" customHeight="true" outlineLevel="0" collapsed="false">
      <c r="A138" s="46" t="n">
        <v>0.458333333333333</v>
      </c>
      <c r="B138" s="47" t="s">
        <v>137</v>
      </c>
    </row>
    <row r="139" customFormat="false" ht="49.5" hidden="false" customHeight="true" outlineLevel="0" collapsed="false">
      <c r="A139" s="46" t="n">
        <v>0.5</v>
      </c>
      <c r="B139" s="47" t="s">
        <v>136</v>
      </c>
    </row>
    <row r="140" customFormat="false" ht="49.5" hidden="false" customHeight="true" outlineLevel="0" collapsed="false">
      <c r="A140" s="46" t="n">
        <v>0.541666666666667</v>
      </c>
      <c r="B140" s="47" t="s">
        <v>136</v>
      </c>
    </row>
    <row r="141" customFormat="false" ht="49.5" hidden="false" customHeight="true" outlineLevel="0" collapsed="false">
      <c r="A141" s="46" t="n">
        <v>0.583333333333333</v>
      </c>
      <c r="B141" s="47" t="s">
        <v>154</v>
      </c>
    </row>
    <row r="142" customFormat="false" ht="49.5" hidden="false" customHeight="true" outlineLevel="0" collapsed="false">
      <c r="A142" s="46" t="n">
        <v>0.625</v>
      </c>
      <c r="B142" s="47" t="s">
        <v>154</v>
      </c>
    </row>
    <row r="143" customFormat="false" ht="49.5" hidden="false" customHeight="true" outlineLevel="0" collapsed="false">
      <c r="A143" s="46" t="n">
        <v>0.666666666666667</v>
      </c>
      <c r="B143" s="47" t="s">
        <v>151</v>
      </c>
    </row>
    <row r="144" customFormat="false" ht="49.5" hidden="false" customHeight="true" outlineLevel="0" collapsed="false">
      <c r="A144" s="46" t="n">
        <v>0.708333333333333</v>
      </c>
      <c r="B144" s="47" t="s">
        <v>151</v>
      </c>
    </row>
    <row r="145" customFormat="false" ht="49.5" hidden="false" customHeight="true" outlineLevel="0" collapsed="false">
      <c r="A145" s="46" t="n">
        <v>0.75</v>
      </c>
      <c r="B145" s="47" t="s">
        <v>151</v>
      </c>
    </row>
    <row r="146" customFormat="false" ht="49.5" hidden="false" customHeight="true" outlineLevel="0" collapsed="false">
      <c r="A146" s="46" t="n">
        <v>0.791666666666666</v>
      </c>
      <c r="B146" s="47" t="s">
        <v>151</v>
      </c>
    </row>
    <row r="147" customFormat="false" ht="49.5" hidden="false" customHeight="true" outlineLevel="0" collapsed="false">
      <c r="A147" s="46" t="n">
        <v>0.833333333333333</v>
      </c>
      <c r="B147" s="47" t="s">
        <v>98</v>
      </c>
    </row>
    <row r="148" customFormat="false" ht="49.5" hidden="false" customHeight="true" outlineLevel="0" collapsed="false">
      <c r="A148" s="46" t="n">
        <v>0.875</v>
      </c>
      <c r="B148" s="47" t="s">
        <v>155</v>
      </c>
    </row>
    <row r="149" customFormat="false" ht="49.5" hidden="false" customHeight="true" outlineLevel="0" collapsed="false">
      <c r="A149" s="46" t="n">
        <v>0.916666666666666</v>
      </c>
      <c r="B149" s="47" t="s">
        <v>136</v>
      </c>
    </row>
    <row r="150" customFormat="false" ht="49.5" hidden="false" customHeight="true" outlineLevel="0" collapsed="false">
      <c r="A150" s="46" t="n">
        <v>0.958333333333333</v>
      </c>
      <c r="B150" s="47" t="s">
        <v>136</v>
      </c>
    </row>
    <row r="151" customFormat="false" ht="49.5" hidden="false" customHeight="true" outlineLevel="0" collapsed="false"/>
    <row r="152" customFormat="false" ht="49.5" hidden="false" customHeight="true" outlineLevel="0" collapsed="false">
      <c r="A152" s="50" t="s">
        <v>141</v>
      </c>
      <c r="B152" s="51"/>
    </row>
    <row r="153" customFormat="false" ht="24.75" hidden="false" customHeight="true" outlineLevel="0" collapsed="false">
      <c r="A153" s="44" t="s">
        <v>134</v>
      </c>
      <c r="B153" s="45" t="s">
        <v>156</v>
      </c>
    </row>
    <row r="154" customFormat="false" ht="24.75" hidden="false" customHeight="true" outlineLevel="0" collapsed="false">
      <c r="A154" s="44"/>
      <c r="B154" s="45"/>
    </row>
    <row r="155" customFormat="false" ht="24.75" hidden="false" customHeight="true" outlineLevel="0" collapsed="false">
      <c r="A155" s="44"/>
      <c r="B155" s="45"/>
    </row>
    <row r="156" customFormat="false" ht="49.5" hidden="false" customHeight="true" outlineLevel="0" collapsed="false">
      <c r="A156" s="46" t="n">
        <v>0</v>
      </c>
      <c r="B156" s="47" t="s">
        <v>136</v>
      </c>
    </row>
    <row r="157" customFormat="false" ht="49.5" hidden="false" customHeight="true" outlineLevel="0" collapsed="false">
      <c r="A157" s="46" t="n">
        <v>0.0416666666666667</v>
      </c>
      <c r="B157" s="47" t="s">
        <v>136</v>
      </c>
    </row>
    <row r="158" customFormat="false" ht="49.5" hidden="false" customHeight="true" outlineLevel="0" collapsed="false">
      <c r="A158" s="46" t="n">
        <v>0.0833333333333333</v>
      </c>
      <c r="B158" s="47" t="s">
        <v>136</v>
      </c>
    </row>
    <row r="159" customFormat="false" ht="49.5" hidden="false" customHeight="true" outlineLevel="0" collapsed="false">
      <c r="A159" s="46" t="n">
        <v>0.125</v>
      </c>
      <c r="B159" s="47" t="s">
        <v>136</v>
      </c>
    </row>
    <row r="160" customFormat="false" ht="49.5" hidden="false" customHeight="true" outlineLevel="0" collapsed="false">
      <c r="A160" s="46" t="n">
        <v>0.166666666666667</v>
      </c>
      <c r="B160" s="47" t="s">
        <v>136</v>
      </c>
    </row>
    <row r="161" customFormat="false" ht="49.5" hidden="false" customHeight="true" outlineLevel="0" collapsed="false">
      <c r="A161" s="46" t="n">
        <v>0.208333333333333</v>
      </c>
      <c r="B161" s="47" t="s">
        <v>136</v>
      </c>
    </row>
    <row r="162" customFormat="false" ht="49.5" hidden="false" customHeight="true" outlineLevel="0" collapsed="false">
      <c r="A162" s="46" t="n">
        <v>0.25</v>
      </c>
      <c r="B162" s="47" t="s">
        <v>137</v>
      </c>
    </row>
    <row r="163" customFormat="false" ht="49.5" hidden="false" customHeight="true" outlineLevel="0" collapsed="false">
      <c r="A163" s="46" t="n">
        <v>0.291666666666667</v>
      </c>
      <c r="B163" s="47" t="s">
        <v>137</v>
      </c>
    </row>
    <row r="164" customFormat="false" ht="49.5" hidden="false" customHeight="true" outlineLevel="0" collapsed="false">
      <c r="A164" s="46" t="n">
        <v>0.333333333333333</v>
      </c>
      <c r="B164" s="47" t="s">
        <v>137</v>
      </c>
    </row>
    <row r="165" customFormat="false" ht="49.5" hidden="false" customHeight="true" outlineLevel="0" collapsed="false">
      <c r="A165" s="46" t="n">
        <v>0.375</v>
      </c>
      <c r="B165" s="47" t="s">
        <v>137</v>
      </c>
    </row>
    <row r="166" customFormat="false" ht="49.5" hidden="false" customHeight="true" outlineLevel="0" collapsed="false">
      <c r="A166" s="46" t="n">
        <v>0.416666666666667</v>
      </c>
      <c r="B166" s="47" t="s">
        <v>137</v>
      </c>
    </row>
    <row r="167" customFormat="false" ht="49.5" hidden="false" customHeight="true" outlineLevel="0" collapsed="false">
      <c r="A167" s="46" t="n">
        <v>0.458333333333333</v>
      </c>
      <c r="B167" s="47" t="s">
        <v>137</v>
      </c>
    </row>
    <row r="168" customFormat="false" ht="49.5" hidden="false" customHeight="true" outlineLevel="0" collapsed="false">
      <c r="A168" s="46" t="n">
        <v>0.5</v>
      </c>
      <c r="B168" s="47" t="s">
        <v>137</v>
      </c>
    </row>
    <row r="169" customFormat="false" ht="49.5" hidden="false" customHeight="true" outlineLevel="0" collapsed="false">
      <c r="A169" s="46" t="n">
        <v>0.541666666666667</v>
      </c>
      <c r="B169" s="47" t="s">
        <v>47</v>
      </c>
    </row>
    <row r="170" customFormat="false" ht="49.5" hidden="false" customHeight="true" outlineLevel="0" collapsed="false">
      <c r="A170" s="46" t="n">
        <v>0.583333333333333</v>
      </c>
      <c r="B170" s="47" t="s">
        <v>157</v>
      </c>
    </row>
    <row r="171" customFormat="false" ht="49.5" hidden="false" customHeight="true" outlineLevel="0" collapsed="false">
      <c r="A171" s="46" t="n">
        <v>0.625</v>
      </c>
      <c r="B171" s="47" t="s">
        <v>157</v>
      </c>
    </row>
    <row r="172" customFormat="false" ht="49.5" hidden="false" customHeight="true" outlineLevel="0" collapsed="false">
      <c r="A172" s="46" t="n">
        <v>0.666666666666667</v>
      </c>
      <c r="B172" s="47" t="s">
        <v>157</v>
      </c>
    </row>
    <row r="173" customFormat="false" ht="49.5" hidden="false" customHeight="true" outlineLevel="0" collapsed="false">
      <c r="A173" s="46" t="n">
        <v>0.708333333333333</v>
      </c>
      <c r="B173" s="47" t="s">
        <v>157</v>
      </c>
    </row>
    <row r="174" customFormat="false" ht="49.5" hidden="false" customHeight="true" outlineLevel="0" collapsed="false">
      <c r="A174" s="46" t="n">
        <v>0.75</v>
      </c>
      <c r="B174" s="47" t="s">
        <v>157</v>
      </c>
    </row>
    <row r="175" customFormat="false" ht="49.5" hidden="false" customHeight="true" outlineLevel="0" collapsed="false">
      <c r="A175" s="46" t="n">
        <v>0.791666666666666</v>
      </c>
      <c r="B175" s="47" t="s">
        <v>157</v>
      </c>
    </row>
    <row r="176" customFormat="false" ht="49.5" hidden="false" customHeight="true" outlineLevel="0" collapsed="false">
      <c r="A176" s="46" t="n">
        <v>0.833333333333333</v>
      </c>
      <c r="B176" s="47" t="s">
        <v>151</v>
      </c>
    </row>
    <row r="177" customFormat="false" ht="49.5" hidden="false" customHeight="true" outlineLevel="0" collapsed="false">
      <c r="A177" s="46" t="n">
        <v>0.875</v>
      </c>
      <c r="B177" s="47" t="s">
        <v>151</v>
      </c>
    </row>
    <row r="178" customFormat="false" ht="49.5" hidden="false" customHeight="true" outlineLevel="0" collapsed="false">
      <c r="A178" s="46" t="n">
        <v>0.916666666666666</v>
      </c>
      <c r="B178" s="47" t="s">
        <v>151</v>
      </c>
    </row>
    <row r="179" customFormat="false" ht="49.5" hidden="false" customHeight="true" outlineLevel="0" collapsed="false">
      <c r="A179" s="46" t="n">
        <v>0.958333333333333</v>
      </c>
      <c r="B179" s="47" t="s">
        <v>151</v>
      </c>
    </row>
    <row r="180" customFormat="false" ht="49.5" hidden="false" customHeight="true" outlineLevel="0" collapsed="false"/>
    <row r="181" customFormat="false" ht="49.5" hidden="false" customHeight="true" outlineLevel="0" collapsed="false">
      <c r="A181" s="50" t="s">
        <v>141</v>
      </c>
      <c r="B181" s="51"/>
    </row>
    <row r="182" customFormat="false" ht="49.5" hidden="false" customHeight="true" outlineLevel="0" collapsed="false"/>
    <row r="183" customFormat="false" ht="24.75" hidden="false" customHeight="true" outlineLevel="0" collapsed="false">
      <c r="A183" s="44" t="s">
        <v>134</v>
      </c>
      <c r="B183" s="45" t="s">
        <v>158</v>
      </c>
    </row>
    <row r="184" customFormat="false" ht="24.75" hidden="false" customHeight="true" outlineLevel="0" collapsed="false">
      <c r="A184" s="44"/>
      <c r="B184" s="45"/>
    </row>
    <row r="185" customFormat="false" ht="24.75" hidden="false" customHeight="true" outlineLevel="0" collapsed="false">
      <c r="A185" s="44"/>
      <c r="B185" s="45"/>
    </row>
    <row r="186" customFormat="false" ht="49.5" hidden="false" customHeight="true" outlineLevel="0" collapsed="false">
      <c r="A186" s="46" t="n">
        <v>0</v>
      </c>
      <c r="B186" s="47" t="s">
        <v>136</v>
      </c>
    </row>
    <row r="187" customFormat="false" ht="49.5" hidden="false" customHeight="true" outlineLevel="0" collapsed="false">
      <c r="A187" s="46" t="n">
        <v>0.0416666666666667</v>
      </c>
      <c r="B187" s="47" t="s">
        <v>136</v>
      </c>
    </row>
    <row r="188" customFormat="false" ht="49.5" hidden="false" customHeight="true" outlineLevel="0" collapsed="false">
      <c r="A188" s="46" t="n">
        <v>0.0833333333333333</v>
      </c>
      <c r="B188" s="47" t="s">
        <v>136</v>
      </c>
    </row>
    <row r="189" customFormat="false" ht="49.5" hidden="false" customHeight="true" outlineLevel="0" collapsed="false">
      <c r="A189" s="46" t="n">
        <v>0.125</v>
      </c>
      <c r="B189" s="47" t="s">
        <v>136</v>
      </c>
    </row>
    <row r="190" customFormat="false" ht="49.5" hidden="false" customHeight="true" outlineLevel="0" collapsed="false">
      <c r="A190" s="46" t="n">
        <v>0.166666666666667</v>
      </c>
      <c r="B190" s="47" t="s">
        <v>136</v>
      </c>
    </row>
    <row r="191" customFormat="false" ht="49.5" hidden="false" customHeight="true" outlineLevel="0" collapsed="false">
      <c r="A191" s="46" t="n">
        <v>0.208333333333333</v>
      </c>
      <c r="B191" s="47" t="s">
        <v>136</v>
      </c>
    </row>
    <row r="192" customFormat="false" ht="49.5" hidden="false" customHeight="true" outlineLevel="0" collapsed="false">
      <c r="A192" s="46" t="n">
        <v>0.25</v>
      </c>
      <c r="B192" s="47" t="s">
        <v>136</v>
      </c>
    </row>
    <row r="193" customFormat="false" ht="49.5" hidden="false" customHeight="true" outlineLevel="0" collapsed="false">
      <c r="A193" s="46" t="n">
        <v>0.291666666666667</v>
      </c>
      <c r="B193" s="47" t="s">
        <v>136</v>
      </c>
    </row>
    <row r="194" customFormat="false" ht="49.5" hidden="false" customHeight="true" outlineLevel="0" collapsed="false">
      <c r="A194" s="46" t="n">
        <v>0.333333333333333</v>
      </c>
      <c r="B194" s="47" t="s">
        <v>98</v>
      </c>
    </row>
    <row r="195" customFormat="false" ht="49.5" hidden="false" customHeight="true" outlineLevel="0" collapsed="false">
      <c r="A195" s="46" t="n">
        <v>0.375</v>
      </c>
      <c r="B195" s="47" t="s">
        <v>159</v>
      </c>
    </row>
    <row r="196" customFormat="false" ht="49.5" hidden="false" customHeight="true" outlineLevel="0" collapsed="false">
      <c r="A196" s="46" t="n">
        <v>0.416666666666667</v>
      </c>
      <c r="B196" s="47"/>
    </row>
    <row r="197" customFormat="false" ht="49.5" hidden="false" customHeight="true" outlineLevel="0" collapsed="false">
      <c r="A197" s="46" t="n">
        <v>0.458333333333333</v>
      </c>
      <c r="B197" s="47"/>
    </row>
    <row r="198" customFormat="false" ht="49.5" hidden="false" customHeight="true" outlineLevel="0" collapsed="false">
      <c r="A198" s="46" t="n">
        <v>0.5</v>
      </c>
      <c r="B198" s="47"/>
    </row>
    <row r="199" customFormat="false" ht="49.5" hidden="false" customHeight="true" outlineLevel="0" collapsed="false">
      <c r="A199" s="46" t="n">
        <v>0.541666666666667</v>
      </c>
      <c r="B199" s="47"/>
    </row>
    <row r="200" customFormat="false" ht="49.5" hidden="false" customHeight="true" outlineLevel="0" collapsed="false">
      <c r="A200" s="46" t="n">
        <v>0.583333333333333</v>
      </c>
      <c r="B200" s="47"/>
    </row>
    <row r="201" customFormat="false" ht="49.5" hidden="false" customHeight="true" outlineLevel="0" collapsed="false">
      <c r="A201" s="46" t="n">
        <v>0.625</v>
      </c>
      <c r="B201" s="47"/>
    </row>
    <row r="202" customFormat="false" ht="49.5" hidden="false" customHeight="true" outlineLevel="0" collapsed="false">
      <c r="A202" s="46" t="n">
        <v>0.666666666666667</v>
      </c>
      <c r="B202" s="47"/>
    </row>
    <row r="203" customFormat="false" ht="49.5" hidden="false" customHeight="true" outlineLevel="0" collapsed="false">
      <c r="A203" s="46" t="n">
        <v>0.708333333333333</v>
      </c>
      <c r="B203" s="47"/>
    </row>
    <row r="204" customFormat="false" ht="49.5" hidden="false" customHeight="true" outlineLevel="0" collapsed="false">
      <c r="A204" s="46" t="n">
        <v>0.75</v>
      </c>
      <c r="B204" s="47"/>
    </row>
    <row r="205" customFormat="false" ht="49.5" hidden="false" customHeight="true" outlineLevel="0" collapsed="false">
      <c r="A205" s="46" t="n">
        <v>0.791666666666666</v>
      </c>
      <c r="B205" s="47"/>
    </row>
    <row r="206" customFormat="false" ht="49.5" hidden="false" customHeight="true" outlineLevel="0" collapsed="false">
      <c r="A206" s="46" t="n">
        <v>0.833333333333333</v>
      </c>
      <c r="B206" s="47"/>
    </row>
    <row r="207" customFormat="false" ht="49.5" hidden="false" customHeight="true" outlineLevel="0" collapsed="false">
      <c r="A207" s="46" t="n">
        <v>0.875</v>
      </c>
      <c r="B207" s="47"/>
    </row>
    <row r="208" customFormat="false" ht="49.5" hidden="false" customHeight="true" outlineLevel="0" collapsed="false">
      <c r="A208" s="46" t="n">
        <v>0.916666666666666</v>
      </c>
      <c r="B208" s="47"/>
    </row>
    <row r="209" customFormat="false" ht="49.5" hidden="false" customHeight="true" outlineLevel="0" collapsed="false">
      <c r="A209" s="46" t="n">
        <v>0.958333333333333</v>
      </c>
      <c r="B209" s="47"/>
    </row>
    <row r="210" customFormat="false" ht="49.5" hidden="false" customHeight="true" outlineLevel="0" collapsed="false"/>
    <row r="211" customFormat="false" ht="49.5" hidden="false" customHeight="true" outlineLevel="0" collapsed="false">
      <c r="A211" s="50" t="s">
        <v>141</v>
      </c>
      <c r="B211" s="51"/>
    </row>
    <row r="212" customFormat="false" ht="49.5" hidden="false" customHeight="true" outlineLevel="0" collapsed="false"/>
    <row r="213" customFormat="false" ht="24.75" hidden="false" customHeight="true" outlineLevel="0" collapsed="false">
      <c r="A213" s="44"/>
      <c r="B213" s="45"/>
    </row>
    <row r="214" customFormat="false" ht="24.75" hidden="false" customHeight="true" outlineLevel="0" collapsed="false">
      <c r="A214" s="44"/>
      <c r="B214" s="45"/>
    </row>
    <row r="215" customFormat="false" ht="24.75" hidden="false" customHeight="true" outlineLevel="0" collapsed="false">
      <c r="A215" s="44"/>
      <c r="B215" s="45"/>
    </row>
    <row r="216" customFormat="false" ht="49.5" hidden="false" customHeight="true" outlineLevel="0" collapsed="false">
      <c r="A216" s="50"/>
      <c r="B216" s="51"/>
    </row>
    <row r="217" customFormat="false" ht="49.5" hidden="false" customHeight="true" outlineLevel="0" collapsed="false">
      <c r="A217" s="50"/>
      <c r="B217" s="51"/>
    </row>
    <row r="218" customFormat="false" ht="49.5" hidden="false" customHeight="true" outlineLevel="0" collapsed="false">
      <c r="A218" s="50"/>
      <c r="B218" s="51"/>
    </row>
    <row r="219" customFormat="false" ht="49.5" hidden="false" customHeight="true" outlineLevel="0" collapsed="false">
      <c r="A219" s="50"/>
      <c r="B219" s="51"/>
    </row>
    <row r="220" customFormat="false" ht="49.5" hidden="false" customHeight="true" outlineLevel="0" collapsed="false">
      <c r="A220" s="50"/>
      <c r="B220" s="51"/>
    </row>
    <row r="221" customFormat="false" ht="49.5" hidden="false" customHeight="true" outlineLevel="0" collapsed="false">
      <c r="A221" s="50"/>
      <c r="B221" s="51"/>
    </row>
    <row r="222" customFormat="false" ht="49.5" hidden="false" customHeight="true" outlineLevel="0" collapsed="false">
      <c r="A222" s="50"/>
      <c r="B222" s="51"/>
    </row>
    <row r="223" customFormat="false" ht="49.5" hidden="false" customHeight="true" outlineLevel="0" collapsed="false">
      <c r="A223" s="50"/>
      <c r="B223" s="51"/>
    </row>
    <row r="224" customFormat="false" ht="49.5" hidden="false" customHeight="true" outlineLevel="0" collapsed="false">
      <c r="A224" s="50"/>
      <c r="B224" s="51"/>
    </row>
    <row r="225" customFormat="false" ht="49.5" hidden="false" customHeight="true" outlineLevel="0" collapsed="false">
      <c r="A225" s="50"/>
      <c r="B225" s="51"/>
    </row>
    <row r="226" customFormat="false" ht="49.5" hidden="false" customHeight="true" outlineLevel="0" collapsed="false">
      <c r="A226" s="50"/>
      <c r="B226" s="51"/>
    </row>
    <row r="227" customFormat="false" ht="49.5" hidden="false" customHeight="true" outlineLevel="0" collapsed="false">
      <c r="A227" s="50"/>
      <c r="B227" s="51"/>
    </row>
    <row r="228" customFormat="false" ht="49.5" hidden="false" customHeight="true" outlineLevel="0" collapsed="false">
      <c r="A228" s="50"/>
      <c r="B228" s="51"/>
    </row>
    <row r="229" customFormat="false" ht="49.5" hidden="false" customHeight="true" outlineLevel="0" collapsed="false">
      <c r="A229" s="50"/>
      <c r="B229" s="51"/>
    </row>
    <row r="230" customFormat="false" ht="49.5" hidden="false" customHeight="true" outlineLevel="0" collapsed="false">
      <c r="A230" s="50"/>
      <c r="B230" s="51"/>
    </row>
    <row r="231" customFormat="false" ht="49.5" hidden="false" customHeight="true" outlineLevel="0" collapsed="false">
      <c r="A231" s="50"/>
      <c r="B231" s="51"/>
    </row>
    <row r="232" customFormat="false" ht="49.5" hidden="false" customHeight="true" outlineLevel="0" collapsed="false">
      <c r="A232" s="50"/>
      <c r="B232" s="51"/>
    </row>
    <row r="233" customFormat="false" ht="49.5" hidden="false" customHeight="true" outlineLevel="0" collapsed="false">
      <c r="A233" s="50"/>
      <c r="B233" s="51"/>
    </row>
    <row r="234" customFormat="false" ht="49.5" hidden="false" customHeight="true" outlineLevel="0" collapsed="false">
      <c r="A234" s="50"/>
      <c r="B234" s="51"/>
    </row>
    <row r="235" customFormat="false" ht="49.5" hidden="false" customHeight="true" outlineLevel="0" collapsed="false">
      <c r="A235" s="50"/>
      <c r="B235" s="51"/>
    </row>
    <row r="236" customFormat="false" ht="49.5" hidden="false" customHeight="true" outlineLevel="0" collapsed="false">
      <c r="A236" s="50"/>
      <c r="B236" s="51"/>
    </row>
    <row r="237" customFormat="false" ht="49.5" hidden="false" customHeight="true" outlineLevel="0" collapsed="false">
      <c r="A237" s="50"/>
      <c r="B237" s="51"/>
    </row>
    <row r="238" customFormat="false" ht="49.5" hidden="false" customHeight="true" outlineLevel="0" collapsed="false">
      <c r="A238" s="50"/>
      <c r="B238" s="51"/>
    </row>
    <row r="239" customFormat="false" ht="49.5" hidden="false" customHeight="true" outlineLevel="0" collapsed="false">
      <c r="A239" s="50"/>
      <c r="B239" s="51"/>
    </row>
  </sheetData>
  <mergeCells count="16">
    <mergeCell ref="A1:A3"/>
    <mergeCell ref="B1:B3"/>
    <mergeCell ref="A34:A36"/>
    <mergeCell ref="B34:B36"/>
    <mergeCell ref="A64:A66"/>
    <mergeCell ref="B64:B66"/>
    <mergeCell ref="A94:A96"/>
    <mergeCell ref="B94:B96"/>
    <mergeCell ref="A124:A126"/>
    <mergeCell ref="B124:B126"/>
    <mergeCell ref="A153:A155"/>
    <mergeCell ref="B153:B155"/>
    <mergeCell ref="A183:A185"/>
    <mergeCell ref="B183:B185"/>
    <mergeCell ref="A213:A215"/>
    <mergeCell ref="B213:B2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37"/>
  <sheetViews>
    <sheetView showFormulas="false" showGridLines="true" showRowColHeaders="true" showZeros="true" rightToLeft="false" tabSelected="false" showOutlineSymbols="true" defaultGridColor="true" view="normal" topLeftCell="A10" colorId="64" zoomScale="65" zoomScaleNormal="65" zoomScalePageLayoutView="100" workbookViewId="0">
      <selection pane="topLeft" activeCell="N38" activeCellId="0" sqref="N3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9" min="9" style="0" width="9.85"/>
  </cols>
  <sheetData>
    <row r="1" customFormat="false" ht="20.25" hidden="false" customHeight="false" outlineLevel="0" collapsed="false">
      <c r="A1" s="53"/>
      <c r="B1" s="54" t="s">
        <v>5</v>
      </c>
      <c r="C1" s="54"/>
      <c r="D1" s="53"/>
      <c r="H1" s="55" t="s">
        <v>6</v>
      </c>
      <c r="I1" s="55"/>
    </row>
    <row r="2" customFormat="false" ht="20.25" hidden="false" customHeight="false" outlineLevel="0" collapsed="false">
      <c r="A2" s="56" t="n">
        <v>45897</v>
      </c>
      <c r="B2" s="57"/>
      <c r="C2" s="58"/>
      <c r="D2" s="59"/>
      <c r="E2" s="60"/>
      <c r="F2" s="59"/>
      <c r="G2" s="60"/>
      <c r="H2" s="59"/>
      <c r="I2" s="60"/>
      <c r="J2" s="59"/>
      <c r="K2" s="60"/>
      <c r="L2" s="59"/>
      <c r="M2" s="60"/>
      <c r="N2" s="59"/>
      <c r="O2" s="61"/>
    </row>
    <row r="3" customFormat="false" ht="20.25" hidden="false" customHeight="false" outlineLevel="0" collapsed="false">
      <c r="A3" s="62" t="n">
        <v>45898</v>
      </c>
      <c r="B3" s="57"/>
      <c r="C3" s="58"/>
      <c r="D3" s="57"/>
      <c r="E3" s="58"/>
      <c r="F3" s="57"/>
      <c r="G3" s="58"/>
      <c r="H3" s="57"/>
      <c r="I3" s="58"/>
      <c r="J3" s="57"/>
      <c r="K3" s="58"/>
      <c r="L3" s="57"/>
      <c r="M3" s="58"/>
      <c r="N3" s="59"/>
      <c r="O3" s="61"/>
    </row>
    <row r="4" customFormat="false" ht="20.25" hidden="false" customHeight="false" outlineLevel="0" collapsed="false">
      <c r="A4" s="62" t="n">
        <v>45899</v>
      </c>
      <c r="B4" s="57"/>
      <c r="C4" s="58"/>
      <c r="D4" s="57"/>
      <c r="E4" s="58"/>
      <c r="F4" s="57"/>
      <c r="G4" s="58"/>
      <c r="H4" s="57"/>
      <c r="I4" s="58"/>
      <c r="J4" s="57"/>
      <c r="K4" s="58"/>
      <c r="L4" s="57"/>
      <c r="M4" s="58"/>
      <c r="N4" s="57"/>
      <c r="O4" s="63"/>
    </row>
    <row r="5" customFormat="false" ht="20.25" hidden="false" customHeight="false" outlineLevel="0" collapsed="false">
      <c r="A5" s="64" t="n">
        <v>45900</v>
      </c>
      <c r="B5" s="57"/>
      <c r="C5" s="58"/>
      <c r="D5" s="57"/>
      <c r="E5" s="58"/>
      <c r="F5" s="57"/>
      <c r="G5" s="58"/>
      <c r="H5" s="57"/>
      <c r="I5" s="58"/>
      <c r="J5" s="57"/>
      <c r="K5" s="58"/>
      <c r="L5" s="57"/>
      <c r="M5" s="58"/>
      <c r="N5" s="57"/>
      <c r="O5" s="63"/>
    </row>
    <row r="6" customFormat="false" ht="19.5" hidden="false" customHeight="false" outlineLevel="0" collapsed="false">
      <c r="A6" s="65"/>
      <c r="B6" s="53"/>
      <c r="C6" s="53"/>
      <c r="D6" s="53"/>
    </row>
    <row r="7" customFormat="false" ht="19.5" hidden="false" customHeight="false" outlineLevel="0" collapsed="false">
      <c r="A7" s="65"/>
      <c r="B7" s="53"/>
      <c r="C7" s="53"/>
      <c r="D7" s="53"/>
    </row>
    <row r="8" customFormat="false" ht="19.5" hidden="false" customHeight="false" outlineLevel="0" collapsed="false">
      <c r="A8" s="65"/>
      <c r="B8" s="53"/>
      <c r="C8" s="53"/>
      <c r="D8" s="53"/>
    </row>
    <row r="9" customFormat="false" ht="19.5" hidden="false" customHeight="false" outlineLevel="0" collapsed="false">
      <c r="A9" s="53"/>
      <c r="B9" s="53"/>
      <c r="C9" s="53"/>
      <c r="D9" s="53"/>
    </row>
    <row r="10" customFormat="false" ht="20.25" hidden="false" customHeight="false" outlineLevel="0" collapsed="false">
      <c r="A10" s="53"/>
      <c r="D10" s="53"/>
    </row>
    <row r="11" customFormat="false" ht="20.25" hidden="false" customHeight="false" outlineLevel="0" collapsed="false">
      <c r="A11" s="53"/>
      <c r="B11" s="54" t="s">
        <v>160</v>
      </c>
      <c r="C11" s="54"/>
      <c r="D11" s="53"/>
    </row>
    <row r="12" customFormat="false" ht="20.25" hidden="false" customHeight="false" outlineLevel="0" collapsed="false">
      <c r="A12" s="66" t="n">
        <v>45897</v>
      </c>
      <c r="B12" s="57"/>
      <c r="C12" s="58"/>
      <c r="D12" s="59"/>
      <c r="E12" s="60"/>
      <c r="F12" s="59"/>
      <c r="G12" s="60"/>
      <c r="H12" s="59"/>
      <c r="I12" s="60"/>
      <c r="J12" s="59"/>
      <c r="K12" s="60"/>
      <c r="L12" s="59"/>
      <c r="M12" s="61"/>
      <c r="N12" s="59"/>
      <c r="O12" s="61"/>
    </row>
    <row r="13" customFormat="false" ht="20.25" hidden="false" customHeight="false" outlineLevel="0" collapsed="false">
      <c r="A13" s="66" t="n">
        <v>45898</v>
      </c>
      <c r="B13" s="57"/>
      <c r="C13" s="58"/>
      <c r="D13" s="57"/>
      <c r="E13" s="58"/>
      <c r="F13" s="57"/>
      <c r="G13" s="58"/>
      <c r="H13" s="57"/>
      <c r="I13" s="58"/>
      <c r="J13" s="57"/>
      <c r="K13" s="58"/>
      <c r="L13" s="57"/>
      <c r="M13" s="58"/>
      <c r="N13" s="57"/>
      <c r="O13" s="63"/>
    </row>
    <row r="14" customFormat="false" ht="20.25" hidden="false" customHeight="false" outlineLevel="0" collapsed="false">
      <c r="A14" s="62" t="n">
        <v>45899</v>
      </c>
      <c r="B14" s="57"/>
      <c r="C14" s="58"/>
      <c r="D14" s="57"/>
      <c r="E14" s="58"/>
      <c r="F14" s="57"/>
      <c r="G14" s="58"/>
      <c r="H14" s="57"/>
      <c r="I14" s="58"/>
      <c r="J14" s="57"/>
      <c r="K14" s="58"/>
      <c r="L14" s="57"/>
      <c r="M14" s="58"/>
      <c r="N14" s="57"/>
      <c r="O14" s="63"/>
    </row>
    <row r="15" customFormat="false" ht="20.25" hidden="false" customHeight="false" outlineLevel="0" collapsed="false">
      <c r="A15" s="66" t="n">
        <v>45900</v>
      </c>
      <c r="B15" s="57"/>
      <c r="C15" s="58"/>
      <c r="D15" s="57"/>
      <c r="E15" s="58"/>
      <c r="F15" s="57"/>
      <c r="G15" s="58"/>
      <c r="H15" s="57"/>
      <c r="I15" s="58"/>
      <c r="J15" s="57"/>
      <c r="K15" s="58"/>
      <c r="L15" s="57"/>
      <c r="M15" s="58"/>
      <c r="N15" s="57"/>
      <c r="O15" s="63"/>
    </row>
    <row r="16" customFormat="false" ht="19.5" hidden="false" customHeight="false" outlineLevel="0" collapsed="false">
      <c r="A16" s="53"/>
      <c r="B16" s="53"/>
      <c r="C16" s="53"/>
      <c r="D16" s="53"/>
    </row>
    <row r="17" customFormat="false" ht="19.5" hidden="false" customHeight="false" outlineLevel="0" collapsed="false">
      <c r="A17" s="53"/>
      <c r="B17" s="53"/>
      <c r="C17" s="53"/>
      <c r="D17" s="53"/>
    </row>
    <row r="18" customFormat="false" ht="20.25" hidden="false" customHeight="false" outlineLevel="0" collapsed="false">
      <c r="A18" s="53"/>
      <c r="B18" s="53"/>
      <c r="C18" s="53"/>
      <c r="D18" s="53"/>
    </row>
    <row r="19" customFormat="false" ht="20.25" hidden="false" customHeight="false" outlineLevel="0" collapsed="false">
      <c r="A19" s="53"/>
      <c r="B19" s="54" t="s">
        <v>42</v>
      </c>
      <c r="C19" s="54"/>
      <c r="D19" s="53"/>
    </row>
    <row r="20" customFormat="false" ht="20.25" hidden="false" customHeight="false" outlineLevel="0" collapsed="false">
      <c r="A20" s="66" t="n">
        <v>45897</v>
      </c>
      <c r="B20" s="57"/>
      <c r="C20" s="58"/>
      <c r="D20" s="59"/>
      <c r="E20" s="60"/>
      <c r="F20" s="59"/>
      <c r="G20" s="60"/>
      <c r="H20" s="59"/>
      <c r="I20" s="60"/>
      <c r="J20" s="59"/>
      <c r="K20" s="60"/>
      <c r="L20" s="59"/>
      <c r="M20" s="60"/>
      <c r="N20" s="59"/>
      <c r="O20" s="61"/>
    </row>
    <row r="21" customFormat="false" ht="20.25" hidden="false" customHeight="false" outlineLevel="0" collapsed="false">
      <c r="A21" s="66" t="n">
        <v>45898</v>
      </c>
      <c r="B21" s="57"/>
      <c r="C21" s="58"/>
      <c r="D21" s="57"/>
      <c r="E21" s="58"/>
      <c r="F21" s="57"/>
      <c r="G21" s="58"/>
      <c r="H21" s="57"/>
      <c r="I21" s="58"/>
      <c r="J21" s="57"/>
      <c r="K21" s="58"/>
      <c r="L21" s="57"/>
      <c r="M21" s="58"/>
      <c r="N21" s="59"/>
      <c r="O21" s="61"/>
    </row>
    <row r="22" customFormat="false" ht="20.25" hidden="false" customHeight="false" outlineLevel="0" collapsed="false">
      <c r="A22" s="66" t="n">
        <v>45899</v>
      </c>
      <c r="B22" s="57"/>
      <c r="C22" s="58"/>
      <c r="D22" s="57"/>
      <c r="E22" s="58"/>
      <c r="F22" s="57"/>
      <c r="G22" s="58"/>
      <c r="H22" s="57"/>
      <c r="I22" s="58"/>
      <c r="J22" s="57"/>
      <c r="K22" s="58"/>
      <c r="L22" s="57"/>
      <c r="M22" s="58"/>
      <c r="N22" s="57"/>
      <c r="O22" s="63"/>
    </row>
    <row r="23" customFormat="false" ht="20.25" hidden="false" customHeight="false" outlineLevel="0" collapsed="false">
      <c r="A23" s="66" t="n">
        <v>45900</v>
      </c>
      <c r="B23" s="57"/>
      <c r="C23" s="58"/>
      <c r="D23" s="57"/>
      <c r="E23" s="58"/>
      <c r="F23" s="57"/>
      <c r="G23" s="58"/>
      <c r="H23" s="57"/>
      <c r="I23" s="58"/>
      <c r="J23" s="57"/>
      <c r="K23" s="58"/>
      <c r="L23" s="57"/>
      <c r="M23" s="58"/>
      <c r="N23" s="57"/>
      <c r="O23" s="63"/>
    </row>
    <row r="24" customFormat="false" ht="20.25" hidden="false" customHeight="false" outlineLevel="0" collapsed="false">
      <c r="A24" s="53"/>
      <c r="B24" s="53"/>
      <c r="C24" s="53"/>
      <c r="D24" s="53"/>
    </row>
    <row r="25" customFormat="false" ht="20.25" hidden="false" customHeight="false" outlineLevel="0" collapsed="false">
      <c r="A25" s="53"/>
      <c r="B25" s="54" t="s">
        <v>98</v>
      </c>
      <c r="C25" s="54"/>
      <c r="D25" s="53"/>
    </row>
    <row r="26" customFormat="false" ht="20.25" hidden="false" customHeight="false" outlineLevel="0" collapsed="false">
      <c r="A26" s="56" t="n">
        <v>45897</v>
      </c>
      <c r="B26" s="57"/>
      <c r="C26" s="58"/>
      <c r="D26" s="59"/>
      <c r="E26" s="60"/>
      <c r="F26" s="59"/>
      <c r="G26" s="60"/>
      <c r="H26" s="59"/>
      <c r="I26" s="60"/>
      <c r="J26" s="59"/>
      <c r="K26" s="60"/>
      <c r="L26" s="59"/>
      <c r="M26" s="60"/>
      <c r="N26" s="59"/>
      <c r="O26" s="61"/>
    </row>
    <row r="27" customFormat="false" ht="20.25" hidden="false" customHeight="false" outlineLevel="0" collapsed="false">
      <c r="A27" s="66" t="n">
        <v>45898</v>
      </c>
      <c r="B27" s="57"/>
      <c r="C27" s="58"/>
      <c r="D27" s="57"/>
      <c r="E27" s="58"/>
      <c r="F27" s="57"/>
      <c r="G27" s="58"/>
      <c r="H27" s="57"/>
      <c r="I27" s="58"/>
      <c r="J27" s="57"/>
      <c r="K27" s="58"/>
      <c r="L27" s="57"/>
      <c r="M27" s="58"/>
      <c r="N27" s="59"/>
      <c r="O27" s="61"/>
    </row>
    <row r="28" customFormat="false" ht="20.25" hidden="false" customHeight="false" outlineLevel="0" collapsed="false">
      <c r="A28" s="66" t="n">
        <v>45899</v>
      </c>
      <c r="B28" s="57"/>
      <c r="C28" s="58"/>
      <c r="D28" s="57"/>
      <c r="E28" s="58"/>
      <c r="F28" s="57"/>
      <c r="G28" s="58"/>
      <c r="H28" s="57"/>
      <c r="I28" s="58"/>
      <c r="J28" s="57"/>
      <c r="K28" s="58"/>
      <c r="L28" s="57"/>
      <c r="M28" s="58"/>
      <c r="N28" s="57"/>
      <c r="O28" s="63"/>
    </row>
    <row r="29" customFormat="false" ht="20.25" hidden="false" customHeight="false" outlineLevel="0" collapsed="false">
      <c r="A29" s="66" t="n">
        <v>45900</v>
      </c>
      <c r="B29" s="57"/>
      <c r="C29" s="58"/>
      <c r="D29" s="57"/>
      <c r="E29" s="58"/>
      <c r="F29" s="57"/>
      <c r="G29" s="58"/>
      <c r="H29" s="57"/>
      <c r="I29" s="58"/>
      <c r="J29" s="57"/>
      <c r="K29" s="58"/>
      <c r="L29" s="57"/>
      <c r="M29" s="58"/>
      <c r="N29" s="57"/>
      <c r="O29" s="63"/>
    </row>
    <row r="30" customFormat="false" ht="19.5" hidden="false" customHeight="false" outlineLevel="0" collapsed="false">
      <c r="A30" s="53"/>
      <c r="B30" s="53"/>
      <c r="C30" s="53"/>
      <c r="D30" s="53"/>
    </row>
    <row r="31" customFormat="false" ht="20.25" hidden="false" customHeight="false" outlineLevel="0" collapsed="false">
      <c r="A31" s="53"/>
      <c r="B31" s="53"/>
      <c r="C31" s="53"/>
      <c r="D31" s="53"/>
    </row>
    <row r="32" customFormat="false" ht="20.25" hidden="false" customHeight="false" outlineLevel="0" collapsed="false">
      <c r="A32" s="53"/>
      <c r="B32" s="54" t="s">
        <v>161</v>
      </c>
      <c r="C32" s="54"/>
      <c r="D32" s="53"/>
    </row>
    <row r="33" customFormat="false" ht="20.25" hidden="false" customHeight="false" outlineLevel="0" collapsed="false">
      <c r="A33" s="56" t="n">
        <v>45897</v>
      </c>
      <c r="B33" s="57"/>
      <c r="C33" s="58"/>
      <c r="D33" s="59"/>
      <c r="E33" s="60"/>
      <c r="F33" s="59"/>
      <c r="G33" s="60"/>
      <c r="H33" s="59"/>
      <c r="I33" s="60"/>
      <c r="J33" s="59"/>
      <c r="K33" s="60"/>
      <c r="L33" s="59"/>
      <c r="M33" s="60"/>
      <c r="N33" s="59"/>
      <c r="O33" s="61"/>
    </row>
    <row r="34" customFormat="false" ht="20.25" hidden="false" customHeight="false" outlineLevel="0" collapsed="false">
      <c r="A34" s="66" t="n">
        <v>45898</v>
      </c>
      <c r="B34" s="57"/>
      <c r="C34" s="58"/>
      <c r="D34" s="57"/>
      <c r="E34" s="58"/>
      <c r="F34" s="57"/>
      <c r="G34" s="58"/>
      <c r="H34" s="57"/>
      <c r="I34" s="58"/>
      <c r="J34" s="57"/>
      <c r="K34" s="58"/>
      <c r="L34" s="57"/>
      <c r="M34" s="58"/>
      <c r="N34" s="59"/>
      <c r="O34" s="61"/>
    </row>
    <row r="35" customFormat="false" ht="20.25" hidden="false" customHeight="false" outlineLevel="0" collapsed="false">
      <c r="A35" s="66" t="n">
        <v>45899</v>
      </c>
      <c r="B35" s="57"/>
      <c r="C35" s="58"/>
      <c r="D35" s="57"/>
      <c r="E35" s="58"/>
      <c r="F35" s="57"/>
      <c r="G35" s="58"/>
      <c r="H35" s="57"/>
      <c r="I35" s="58"/>
      <c r="J35" s="57"/>
      <c r="K35" s="58"/>
      <c r="L35" s="57"/>
      <c r="M35" s="58"/>
      <c r="N35" s="57"/>
      <c r="O35" s="63"/>
    </row>
    <row r="36" customFormat="false" ht="20.25" hidden="false" customHeight="false" outlineLevel="0" collapsed="false">
      <c r="A36" s="64" t="n">
        <v>45900</v>
      </c>
      <c r="B36" s="57"/>
      <c r="C36" s="58"/>
      <c r="D36" s="57"/>
      <c r="E36" s="58"/>
      <c r="F36" s="57"/>
      <c r="G36" s="58"/>
      <c r="H36" s="57"/>
      <c r="I36" s="58"/>
      <c r="J36" s="57"/>
      <c r="K36" s="58"/>
      <c r="L36" s="57"/>
      <c r="M36" s="58"/>
      <c r="N36" s="57"/>
      <c r="O36" s="63"/>
    </row>
    <row r="37" customFormat="false" ht="19.5" hidden="false" customHeight="false" outlineLevel="0" collapsed="false">
      <c r="A37" s="53"/>
      <c r="B37" s="53"/>
      <c r="C37" s="53"/>
      <c r="D37" s="53"/>
    </row>
  </sheetData>
  <mergeCells count="6">
    <mergeCell ref="B1:C1"/>
    <mergeCell ref="H1:I1"/>
    <mergeCell ref="B11:C11"/>
    <mergeCell ref="B19:C19"/>
    <mergeCell ref="B25:C25"/>
    <mergeCell ref="B32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D966"/>
    <pageSetUpPr fitToPage="tru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5" activeCellId="0" sqref="B1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3.43"/>
    <col collapsed="false" customWidth="true" hidden="false" outlineLevel="0" max="2" min="2" style="0" width="107.14"/>
    <col collapsed="false" customWidth="true" hidden="false" outlineLevel="0" max="3" min="3" style="0" width="13.57"/>
    <col collapsed="false" customWidth="true" hidden="false" outlineLevel="0" max="4" min="4" style="0" width="13.71"/>
    <col collapsed="false" customWidth="true" hidden="false" outlineLevel="0" max="7" min="7" style="0" width="11.43"/>
    <col collapsed="false" customWidth="true" hidden="false" outlineLevel="0" max="8" min="8" style="0" width="23.72"/>
    <col collapsed="false" customWidth="true" hidden="false" outlineLevel="0" max="9" min="9" style="0" width="13.57"/>
    <col collapsed="false" customWidth="true" hidden="false" outlineLevel="0" max="10" min="10" style="0" width="13.71"/>
    <col collapsed="false" customWidth="true" hidden="false" outlineLevel="0" max="13" min="13" style="0" width="11.43"/>
    <col collapsed="false" customWidth="true" hidden="false" outlineLevel="0" max="14" min="14" style="0" width="23.72"/>
    <col collapsed="false" customWidth="true" hidden="false" outlineLevel="0" max="15" min="15" style="0" width="13.57"/>
    <col collapsed="false" customWidth="true" hidden="false" outlineLevel="0" max="16" min="16" style="0" width="13.71"/>
  </cols>
  <sheetData>
    <row r="1" customFormat="false" ht="15" hidden="false" customHeight="true" outlineLevel="0" collapsed="false">
      <c r="A1" s="67" t="s">
        <v>134</v>
      </c>
      <c r="B1" s="67" t="s">
        <v>162</v>
      </c>
    </row>
    <row r="2" customFormat="false" ht="28.5" hidden="false" customHeight="true" outlineLevel="0" collapsed="false">
      <c r="A2" s="50" t="n">
        <v>0.166666666666667</v>
      </c>
      <c r="B2" s="51" t="s">
        <v>163</v>
      </c>
    </row>
    <row r="3" customFormat="false" ht="34.5" hidden="false" customHeight="true" outlineLevel="0" collapsed="false">
      <c r="A3" s="50" t="n">
        <v>0.25</v>
      </c>
      <c r="B3" s="51" t="s">
        <v>164</v>
      </c>
    </row>
    <row r="4" customFormat="false" ht="32.25" hidden="false" customHeight="true" outlineLevel="0" collapsed="false">
      <c r="A4" s="50" t="n">
        <v>0.25</v>
      </c>
      <c r="B4" s="51" t="s">
        <v>165</v>
      </c>
    </row>
    <row r="5" customFormat="false" ht="32.25" hidden="false" customHeight="true" outlineLevel="0" collapsed="false">
      <c r="A5" s="50" t="n">
        <v>0.3125</v>
      </c>
      <c r="B5" s="51" t="s">
        <v>166</v>
      </c>
    </row>
    <row r="6" customFormat="false" ht="28.5" hidden="false" customHeight="true" outlineLevel="0" collapsed="false">
      <c r="A6" s="50" t="n">
        <v>0.333333333333333</v>
      </c>
      <c r="B6" s="51" t="s">
        <v>167</v>
      </c>
    </row>
    <row r="7" customFormat="false" ht="26.25" hidden="false" customHeight="true" outlineLevel="0" collapsed="false">
      <c r="A7" s="50" t="n">
        <v>0.361111111111111</v>
      </c>
      <c r="B7" s="51" t="s">
        <v>168</v>
      </c>
    </row>
    <row r="8" customFormat="false" ht="28.5" hidden="false" customHeight="true" outlineLevel="0" collapsed="false">
      <c r="A8" s="50" t="n">
        <v>0.395833333333333</v>
      </c>
      <c r="B8" s="51" t="s">
        <v>169</v>
      </c>
    </row>
    <row r="9" customFormat="false" ht="26.25" hidden="false" customHeight="true" outlineLevel="0" collapsed="false">
      <c r="A9" s="50" t="n">
        <v>0.416666666666667</v>
      </c>
      <c r="B9" s="51" t="s">
        <v>170</v>
      </c>
    </row>
    <row r="10" customFormat="false" ht="27" hidden="false" customHeight="true" outlineLevel="0" collapsed="false">
      <c r="A10" s="50" t="n">
        <v>0.4375</v>
      </c>
      <c r="B10" s="51" t="s">
        <v>171</v>
      </c>
    </row>
    <row r="11" customFormat="false" ht="26.25" hidden="false" customHeight="true" outlineLevel="0" collapsed="false">
      <c r="A11" s="50" t="n">
        <v>0.458333333333333</v>
      </c>
      <c r="B11" s="51" t="s">
        <v>172</v>
      </c>
    </row>
    <row r="12" customFormat="false" ht="26.25" hidden="false" customHeight="true" outlineLevel="0" collapsed="false">
      <c r="A12" s="50" t="n">
        <v>0.5</v>
      </c>
      <c r="B12" s="51" t="s">
        <v>173</v>
      </c>
    </row>
    <row r="13" customFormat="false" ht="26.25" hidden="false" customHeight="true" outlineLevel="0" collapsed="false"/>
    <row r="14" customFormat="false" ht="26.25" hidden="false" customHeight="true" outlineLevel="0" collapsed="false"/>
    <row r="15" customFormat="false" ht="24.75" hidden="false" customHeight="true" outlineLevel="0" collapsed="false">
      <c r="A15" s="11" t="s">
        <v>174</v>
      </c>
      <c r="B15" s="51" t="s">
        <v>175</v>
      </c>
    </row>
    <row r="16" customFormat="false" ht="27" hidden="false" customHeight="true" outlineLevel="0" collapsed="false">
      <c r="A16" s="11" t="s">
        <v>176</v>
      </c>
      <c r="B16" s="51" t="s">
        <v>177</v>
      </c>
    </row>
    <row r="17" customFormat="false" ht="20.25" hidden="false" customHeight="false" outlineLevel="0" collapsed="false">
      <c r="A17" s="11" t="s">
        <v>153</v>
      </c>
      <c r="B17" s="51" t="s">
        <v>178</v>
      </c>
    </row>
    <row r="18" customFormat="false" ht="20.25" hidden="false" customHeight="false" outlineLevel="0" collapsed="false">
      <c r="A18" s="11" t="s">
        <v>156</v>
      </c>
      <c r="B18" s="51" t="s">
        <v>179</v>
      </c>
    </row>
    <row r="20" customFormat="false" ht="19.5" hidden="false" customHeight="false" outlineLevel="0" collapsed="false">
      <c r="B20" s="53" t="s">
        <v>180</v>
      </c>
    </row>
    <row r="21" customFormat="false" ht="19.5" hidden="false" customHeight="false" outlineLevel="0" collapsed="false">
      <c r="B21" s="49" t="s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8" activeCellId="0" sqref="D2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3.72"/>
    <col collapsed="false" customWidth="true" hidden="false" outlineLevel="0" max="3" min="3" style="0" width="13.57"/>
    <col collapsed="false" customWidth="true" hidden="false" outlineLevel="0" max="4" min="4" style="0" width="13.71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68" t="s">
        <v>129</v>
      </c>
      <c r="B2" s="69" t="s">
        <v>130</v>
      </c>
      <c r="C2" s="4" t="s">
        <v>182</v>
      </c>
      <c r="D2" s="70" t="s">
        <v>183</v>
      </c>
      <c r="E2" s="5" t="s">
        <v>184</v>
      </c>
    </row>
    <row r="3" customFormat="false" ht="15" hidden="false" customHeight="false" outlineLevel="0" collapsed="false">
      <c r="A3" s="20" t="s">
        <v>185</v>
      </c>
      <c r="B3" s="0" t="s">
        <v>186</v>
      </c>
      <c r="C3" s="21" t="n">
        <v>700</v>
      </c>
      <c r="D3" s="21" t="n">
        <v>400</v>
      </c>
      <c r="E3" s="0" t="n">
        <f aca="false">Tabella1345[[#This Row],[VENDITA]]-Tabella1345[[#This Row],[ACQUISTO]]</f>
        <v>-300</v>
      </c>
    </row>
    <row r="4" customFormat="false" ht="15" hidden="false" customHeight="false" outlineLevel="0" collapsed="false">
      <c r="A4" s="20" t="s">
        <v>187</v>
      </c>
      <c r="B4" s="0" t="s">
        <v>188</v>
      </c>
      <c r="C4" s="21" t="n">
        <v>550</v>
      </c>
      <c r="D4" s="21" t="n">
        <v>850</v>
      </c>
      <c r="E4" s="0" t="n">
        <f aca="false">Tabella1345[[#This Row],[VENDITA]]-Tabella1345[[#This Row],[ACQUISTO]]</f>
        <v>300</v>
      </c>
    </row>
    <row r="5" customFormat="false" ht="15" hidden="false" customHeight="false" outlineLevel="0" collapsed="false">
      <c r="A5" s="20" t="s">
        <v>189</v>
      </c>
      <c r="B5" s="0" t="s">
        <v>190</v>
      </c>
      <c r="C5" s="21" t="n">
        <v>0</v>
      </c>
      <c r="D5" s="21" t="n">
        <v>600</v>
      </c>
      <c r="E5" s="0" t="n">
        <f aca="false">Tabella1345[[#This Row],[VENDITA]]-Tabella1345[[#This Row],[ACQUISTO]]</f>
        <v>600</v>
      </c>
    </row>
    <row r="6" customFormat="false" ht="15" hidden="false" customHeight="false" outlineLevel="0" collapsed="false">
      <c r="A6" s="38" t="s">
        <v>191</v>
      </c>
      <c r="B6" s="41" t="s">
        <v>190</v>
      </c>
      <c r="C6" s="71" t="n">
        <v>300</v>
      </c>
      <c r="D6" s="71" t="n">
        <v>600</v>
      </c>
      <c r="E6" s="41" t="n">
        <f aca="false">Tabella1345[[#This Row],[VENDITA]]-Tabella1345[[#This Row],[ACQUISTO]]</f>
        <v>300</v>
      </c>
    </row>
    <row r="7" customFormat="false" ht="15" hidden="false" customHeight="false" outlineLevel="0" collapsed="false">
      <c r="A7" s="20" t="s">
        <v>187</v>
      </c>
      <c r="B7" s="0" t="s">
        <v>192</v>
      </c>
      <c r="C7" s="21" t="n">
        <v>550</v>
      </c>
      <c r="D7" s="21" t="n">
        <v>850</v>
      </c>
      <c r="E7" s="0" t="n">
        <f aca="false">Tabella1345[[#This Row],[VENDITA]]-Tabella1345[[#This Row],[ACQUISTO]]</f>
        <v>300</v>
      </c>
    </row>
    <row r="8" customFormat="false" ht="15" hidden="false" customHeight="false" outlineLevel="0" collapsed="false">
      <c r="A8" s="20" t="s">
        <v>193</v>
      </c>
      <c r="B8" s="0" t="s">
        <v>186</v>
      </c>
      <c r="C8" s="21" t="n">
        <v>700</v>
      </c>
      <c r="D8" s="21" t="n">
        <v>850</v>
      </c>
      <c r="E8" s="41" t="n">
        <f aca="false">Tabella1345[[#This Row],[VENDITA]]-Tabella1345[[#This Row],[ACQUISTO]]</f>
        <v>150</v>
      </c>
    </row>
    <row r="9" customFormat="false" ht="15" hidden="false" customHeight="false" outlineLevel="0" collapsed="false">
      <c r="A9" s="38" t="s">
        <v>194</v>
      </c>
      <c r="B9" s="41" t="s">
        <v>195</v>
      </c>
      <c r="C9" s="71" t="n">
        <v>300</v>
      </c>
      <c r="D9" s="71" t="n">
        <v>450</v>
      </c>
      <c r="E9" s="41" t="n">
        <f aca="false">Tabella1345[[#This Row],[VENDITA]]-Tabella1345[[#This Row],[ACQUISTO]]</f>
        <v>150</v>
      </c>
    </row>
    <row r="10" customFormat="false" ht="15" hidden="false" customHeight="false" outlineLevel="0" collapsed="false">
      <c r="A10" s="38" t="s">
        <v>133</v>
      </c>
      <c r="B10" s="41" t="s">
        <v>196</v>
      </c>
      <c r="C10" s="71" t="n">
        <v>0</v>
      </c>
      <c r="D10" s="71" t="n">
        <v>400</v>
      </c>
      <c r="E10" s="41" t="n">
        <f aca="false">Tabella1345[[#This Row],[VENDITA]]-Tabella1345[[#This Row],[ACQUISTO]]</f>
        <v>400</v>
      </c>
    </row>
    <row r="11" customFormat="false" ht="15" hidden="false" customHeight="false" outlineLevel="0" collapsed="false">
      <c r="A11" s="20" t="s">
        <v>185</v>
      </c>
      <c r="B11" s="0" t="s">
        <v>186</v>
      </c>
      <c r="C11" s="21" t="n">
        <v>800</v>
      </c>
      <c r="D11" s="21" t="n">
        <v>100</v>
      </c>
      <c r="E11" s="0" t="n">
        <f aca="false">Tabella1345[[#This Row],[VENDITA]]-Tabella1345[[#This Row],[ACQUISTO]]</f>
        <v>-700</v>
      </c>
    </row>
    <row r="12" customFormat="false" ht="15" hidden="false" customHeight="false" outlineLevel="0" collapsed="false">
      <c r="A12" s="20"/>
      <c r="C12" s="21"/>
      <c r="D12" s="21"/>
      <c r="E12" s="0" t="n">
        <f aca="false">Tabella1345[[#This Row],[VENDITA]]-Tabella1345[[#This Row],[ACQUISTO]]</f>
        <v>0</v>
      </c>
    </row>
    <row r="13" customFormat="false" ht="15" hidden="false" customHeight="false" outlineLevel="0" collapsed="false">
      <c r="A13" s="20"/>
      <c r="C13" s="21"/>
      <c r="D13" s="21"/>
      <c r="E13" s="0" t="n">
        <f aca="false">Tabella1345[[#This Row],[VENDITA]]-Tabella1345[[#This Row],[ACQUISTO]]</f>
        <v>0</v>
      </c>
    </row>
    <row r="14" customFormat="false" ht="15" hidden="false" customHeight="false" outlineLevel="0" collapsed="false">
      <c r="A14" s="20"/>
      <c r="C14" s="21"/>
      <c r="D14" s="21"/>
      <c r="E14" s="0" t="n">
        <f aca="false">Tabella1345[[#This Row],[VENDITA]]-Tabella1345[[#This Row],[ACQUISTO]]</f>
        <v>0</v>
      </c>
    </row>
    <row r="15" customFormat="false" ht="15" hidden="false" customHeight="false" outlineLevel="0" collapsed="false">
      <c r="A15" s="20"/>
      <c r="C15" s="21"/>
      <c r="D15" s="21"/>
      <c r="E15" s="0" t="n">
        <f aca="false">Tabella1345[[#This Row],[VENDITA]]-Tabella1345[[#This Row],[ACQUISTO]]</f>
        <v>0</v>
      </c>
    </row>
    <row r="16" customFormat="false" ht="15" hidden="false" customHeight="false" outlineLevel="0" collapsed="false">
      <c r="A16" s="20"/>
      <c r="C16" s="22"/>
      <c r="E16" s="0" t="n">
        <f aca="false">Tabella1345[[#This Row],[VENDITA]]-Tabella1345[[#This Row],[ACQUISTO]]</f>
        <v>0</v>
      </c>
    </row>
    <row r="17" customFormat="false" ht="15.75" hidden="false" customHeight="false" outlineLevel="0" collapsed="false"/>
    <row r="18" customFormat="false" ht="15.75" hidden="false" customHeight="false" outlineLevel="0" collapsed="false">
      <c r="E18" s="19" t="s">
        <v>24</v>
      </c>
    </row>
    <row r="19" customFormat="false" ht="15.75" hidden="false" customHeight="false" outlineLevel="0" collapsed="false">
      <c r="E19" s="11" t="n">
        <f aca="false">SUM(E3:E16)</f>
        <v>1200</v>
      </c>
    </row>
    <row r="23" customFormat="false" ht="15.75" hidden="false" customHeight="false" outlineLevel="0" collapsed="false"/>
    <row r="24" customFormat="false" ht="15.75" hidden="false" customHeight="false" outlineLevel="0" collapsed="false">
      <c r="A24" s="2" t="s">
        <v>129</v>
      </c>
      <c r="B24" s="3" t="s">
        <v>130</v>
      </c>
      <c r="C24" s="4" t="s">
        <v>131</v>
      </c>
      <c r="D24" s="4" t="s">
        <v>132</v>
      </c>
      <c r="E24" s="5" t="s">
        <v>7</v>
      </c>
    </row>
    <row r="25" customFormat="false" ht="15.75" hidden="false" customHeight="false" outlineLevel="0" collapsed="false">
      <c r="A25" s="11" t="s">
        <v>191</v>
      </c>
      <c r="B25" s="72" t="s">
        <v>190</v>
      </c>
      <c r="C25" s="11" t="n">
        <v>600</v>
      </c>
      <c r="D25" s="11" t="n">
        <v>600</v>
      </c>
      <c r="E25" s="11" t="n">
        <f aca="false">C25-D25</f>
        <v>0</v>
      </c>
    </row>
    <row r="26" customFormat="false" ht="15.75" hidden="false" customHeight="false" outlineLevel="0" collapsed="false">
      <c r="A26" s="11" t="s">
        <v>193</v>
      </c>
      <c r="B26" s="11" t="s">
        <v>186</v>
      </c>
      <c r="C26" s="11" t="n">
        <v>850</v>
      </c>
      <c r="D26" s="11" t="n">
        <v>450</v>
      </c>
      <c r="E26" s="11" t="n">
        <f aca="false">C26-D26</f>
        <v>400</v>
      </c>
    </row>
    <row r="27" customFormat="false" ht="15.75" hidden="false" customHeight="false" outlineLevel="0" collapsed="false">
      <c r="A27" s="11" t="s">
        <v>189</v>
      </c>
      <c r="B27" s="11" t="s">
        <v>190</v>
      </c>
      <c r="C27" s="14" t="n">
        <v>600</v>
      </c>
      <c r="D27" s="14" t="n">
        <v>550</v>
      </c>
      <c r="E27" s="11" t="n">
        <f aca="false">C27-D27</f>
        <v>50</v>
      </c>
    </row>
    <row r="28" customFormat="false" ht="15.75" hidden="false" customHeight="false" outlineLevel="0" collapsed="false">
      <c r="A28" s="14" t="s">
        <v>133</v>
      </c>
      <c r="B28" s="14" t="s">
        <v>196</v>
      </c>
      <c r="C28" s="14" t="n">
        <v>400</v>
      </c>
      <c r="D28" s="14" t="n">
        <v>300</v>
      </c>
      <c r="E28" s="11" t="n">
        <f aca="false">C28-D28</f>
        <v>100</v>
      </c>
    </row>
    <row r="29" customFormat="false" ht="15.75" hidden="false" customHeight="false" outlineLevel="0" collapsed="false"/>
    <row r="30" customFormat="false" ht="15.75" hidden="false" customHeight="false" outlineLevel="0" collapsed="false">
      <c r="C30" s="18" t="s">
        <v>24</v>
      </c>
      <c r="D30" s="18" t="s">
        <v>24</v>
      </c>
      <c r="E30" s="19" t="s">
        <v>24</v>
      </c>
    </row>
    <row r="31" customFormat="false" ht="15.75" hidden="false" customHeight="false" outlineLevel="0" collapsed="false">
      <c r="C31" s="11" t="n">
        <f aca="false">SUM(C25:C28)</f>
        <v>2450</v>
      </c>
      <c r="D31" s="11" t="n">
        <f aca="false">SUM(D25:D28)</f>
        <v>1900</v>
      </c>
      <c r="E31" s="11" t="n">
        <f aca="false">SUM(E25:E28)</f>
        <v>550</v>
      </c>
    </row>
  </sheetData>
  <autoFilter ref="A24:C2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I10" activeCellId="0" sqref="I1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31.86"/>
    <col collapsed="false" customWidth="true" hidden="false" outlineLevel="0" max="4" min="4" style="0" width="13.71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73" t="s">
        <v>134</v>
      </c>
      <c r="B2" s="74" t="s">
        <v>197</v>
      </c>
      <c r="C2" s="74" t="s">
        <v>198</v>
      </c>
      <c r="D2" s="74" t="s">
        <v>199</v>
      </c>
      <c r="F2" s="11" t="n">
        <f aca="false">692+510+1020+510+1020+1020+2040+1020+1020+1020+1020+1020+1326+1020+360+1530+300+510+500+500+3000</f>
        <v>20958</v>
      </c>
      <c r="H2" s="75" t="s">
        <v>136</v>
      </c>
      <c r="I2" s="75"/>
      <c r="K2" s="76" t="s">
        <v>200</v>
      </c>
      <c r="L2" s="76"/>
      <c r="N2" s="76" t="s">
        <v>201</v>
      </c>
      <c r="O2" s="76"/>
      <c r="Q2" s="76" t="s">
        <v>202</v>
      </c>
      <c r="R2" s="76"/>
    </row>
    <row r="3" customFormat="false" ht="15" hidden="false" customHeight="false" outlineLevel="0" collapsed="false">
      <c r="A3" s="20" t="n">
        <v>0.375</v>
      </c>
      <c r="B3" s="0" t="s">
        <v>136</v>
      </c>
      <c r="C3" s="21"/>
      <c r="D3" s="21"/>
      <c r="H3" s="75"/>
      <c r="I3" s="75"/>
      <c r="K3" s="76"/>
      <c r="L3" s="76"/>
      <c r="N3" s="76"/>
      <c r="O3" s="76"/>
      <c r="Q3" s="76"/>
      <c r="R3" s="76"/>
    </row>
    <row r="4" customFormat="false" ht="15" hidden="false" customHeight="false" outlineLevel="0" collapsed="false">
      <c r="A4" s="20" t="n">
        <v>0.416666666666667</v>
      </c>
      <c r="B4" s="0" t="s">
        <v>136</v>
      </c>
      <c r="C4" s="21"/>
      <c r="D4" s="21"/>
      <c r="H4" s="75"/>
      <c r="I4" s="75"/>
      <c r="K4" s="76"/>
      <c r="L4" s="76"/>
      <c r="N4" s="76"/>
      <c r="O4" s="76"/>
      <c r="Q4" s="76"/>
      <c r="R4" s="76"/>
    </row>
    <row r="5" customFormat="false" ht="15" hidden="false" customHeight="false" outlineLevel="0" collapsed="false">
      <c r="A5" s="20" t="n">
        <v>0.458333333333334</v>
      </c>
      <c r="B5" s="0" t="s">
        <v>136</v>
      </c>
      <c r="C5" s="21"/>
      <c r="D5" s="21"/>
      <c r="H5" s="75"/>
      <c r="I5" s="75"/>
      <c r="K5" s="76"/>
      <c r="L5" s="76"/>
      <c r="N5" s="76"/>
      <c r="O5" s="76"/>
      <c r="Q5" s="76"/>
      <c r="R5" s="76"/>
    </row>
    <row r="6" customFormat="false" ht="15" hidden="false" customHeight="false" outlineLevel="0" collapsed="false">
      <c r="A6" s="20" t="n">
        <v>0.500000000000001</v>
      </c>
      <c r="B6" s="0" t="s">
        <v>136</v>
      </c>
      <c r="C6" s="21"/>
      <c r="D6" s="21"/>
      <c r="H6" s="75"/>
      <c r="I6" s="75"/>
      <c r="K6" s="76"/>
      <c r="L6" s="76"/>
      <c r="N6" s="76"/>
      <c r="O6" s="76"/>
      <c r="Q6" s="76"/>
      <c r="R6" s="76"/>
    </row>
    <row r="7" customFormat="false" ht="15" hidden="false" customHeight="false" outlineLevel="0" collapsed="false">
      <c r="A7" s="20" t="n">
        <v>0.541666666666668</v>
      </c>
      <c r="B7" s="0" t="s">
        <v>136</v>
      </c>
      <c r="C7" s="21"/>
      <c r="D7" s="21"/>
      <c r="H7" s="75"/>
      <c r="I7" s="75"/>
      <c r="K7" s="76"/>
      <c r="L7" s="76"/>
      <c r="N7" s="76"/>
      <c r="O7" s="76"/>
      <c r="Q7" s="76"/>
      <c r="R7" s="76"/>
    </row>
    <row r="8" customFormat="false" ht="15" hidden="false" customHeight="false" outlineLevel="0" collapsed="false">
      <c r="A8" s="20" t="n">
        <v>0.583333333333335</v>
      </c>
      <c r="B8" s="0" t="s">
        <v>203</v>
      </c>
      <c r="C8" s="21"/>
      <c r="D8" s="21"/>
      <c r="H8" s="75"/>
      <c r="I8" s="75"/>
      <c r="K8" s="76"/>
      <c r="L8" s="76"/>
      <c r="N8" s="76"/>
      <c r="O8" s="76"/>
      <c r="Q8" s="76"/>
      <c r="R8" s="76"/>
    </row>
    <row r="9" customFormat="false" ht="15.75" hidden="false" customHeight="false" outlineLevel="0" collapsed="false">
      <c r="A9" s="20" t="n">
        <v>0.625000000000002</v>
      </c>
      <c r="B9" s="0" t="s">
        <v>151</v>
      </c>
      <c r="C9" s="21"/>
      <c r="D9" s="21"/>
      <c r="H9" s="75"/>
      <c r="I9" s="75"/>
      <c r="K9" s="76"/>
      <c r="L9" s="76"/>
      <c r="N9" s="76"/>
      <c r="O9" s="76"/>
      <c r="Q9" s="76"/>
      <c r="R9" s="76"/>
    </row>
    <row r="10" customFormat="false" ht="15" hidden="false" customHeight="false" outlineLevel="0" collapsed="false">
      <c r="A10" s="20" t="n">
        <v>0.666666666666669</v>
      </c>
      <c r="B10" s="0" t="s">
        <v>151</v>
      </c>
      <c r="C10" s="21"/>
      <c r="D10" s="21"/>
    </row>
    <row r="11" customFormat="false" ht="15.75" hidden="false" customHeight="false" outlineLevel="0" collapsed="false">
      <c r="A11" s="20" t="n">
        <v>0.708333333333335</v>
      </c>
      <c r="B11" s="0" t="s">
        <v>151</v>
      </c>
      <c r="C11" s="21"/>
      <c r="D11" s="21"/>
    </row>
    <row r="12" customFormat="false" ht="15" hidden="false" customHeight="true" outlineLevel="0" collapsed="false">
      <c r="A12" s="20" t="n">
        <v>0.750000000000002</v>
      </c>
      <c r="B12" s="0" t="s">
        <v>151</v>
      </c>
      <c r="C12" s="21"/>
      <c r="D12" s="21"/>
      <c r="H12" s="77" t="s">
        <v>151</v>
      </c>
      <c r="I12" s="77"/>
      <c r="K12" s="77" t="s">
        <v>200</v>
      </c>
      <c r="L12" s="77"/>
      <c r="N12" s="77" t="s">
        <v>204</v>
      </c>
      <c r="O12" s="77"/>
      <c r="Q12" s="77"/>
      <c r="R12" s="77"/>
    </row>
    <row r="13" customFormat="false" ht="15" hidden="false" customHeight="false" outlineLevel="0" collapsed="false">
      <c r="A13" s="20" t="n">
        <v>0.791666666666669</v>
      </c>
      <c r="B13" s="0" t="s">
        <v>205</v>
      </c>
      <c r="C13" s="21"/>
      <c r="D13" s="21"/>
      <c r="H13" s="77"/>
      <c r="I13" s="77"/>
      <c r="K13" s="77"/>
      <c r="L13" s="77"/>
      <c r="N13" s="77"/>
      <c r="O13" s="77"/>
      <c r="Q13" s="77"/>
      <c r="R13" s="77"/>
    </row>
    <row r="14" customFormat="false" ht="15" hidden="false" customHeight="false" outlineLevel="0" collapsed="false">
      <c r="A14" s="20" t="n">
        <v>0.833333333333335</v>
      </c>
      <c r="B14" s="0" t="s">
        <v>206</v>
      </c>
      <c r="C14" s="21"/>
      <c r="D14" s="21"/>
      <c r="H14" s="77"/>
      <c r="I14" s="77"/>
      <c r="K14" s="77"/>
      <c r="L14" s="77"/>
      <c r="N14" s="77"/>
      <c r="O14" s="77"/>
      <c r="Q14" s="77"/>
      <c r="R14" s="77"/>
    </row>
    <row r="15" customFormat="false" ht="15" hidden="false" customHeight="false" outlineLevel="0" collapsed="false">
      <c r="A15" s="20" t="n">
        <v>0.875000000000002</v>
      </c>
      <c r="B15" s="0" t="s">
        <v>206</v>
      </c>
      <c r="C15" s="21"/>
      <c r="D15" s="21"/>
      <c r="H15" s="77"/>
      <c r="I15" s="77"/>
      <c r="K15" s="77"/>
      <c r="L15" s="77"/>
      <c r="N15" s="77"/>
      <c r="O15" s="77"/>
      <c r="Q15" s="77"/>
      <c r="R15" s="77"/>
    </row>
    <row r="16" customFormat="false" ht="15" hidden="false" customHeight="false" outlineLevel="0" collapsed="false">
      <c r="A16" s="20" t="n">
        <v>0.916666666666669</v>
      </c>
      <c r="B16" s="0" t="s">
        <v>206</v>
      </c>
      <c r="C16" s="21"/>
      <c r="D16" s="21"/>
      <c r="H16" s="77"/>
      <c r="I16" s="77"/>
      <c r="K16" s="77"/>
      <c r="L16" s="77"/>
      <c r="N16" s="77"/>
      <c r="O16" s="77"/>
      <c r="Q16" s="77"/>
      <c r="R16" s="77"/>
    </row>
    <row r="17" customFormat="false" ht="15" hidden="false" customHeight="false" outlineLevel="0" collapsed="false">
      <c r="H17" s="77"/>
      <c r="I17" s="77"/>
      <c r="K17" s="77"/>
      <c r="L17" s="77"/>
      <c r="N17" s="77"/>
      <c r="O17" s="77"/>
      <c r="Q17" s="77"/>
      <c r="R17" s="77"/>
    </row>
    <row r="18" customFormat="false" ht="15.75" hidden="false" customHeight="false" outlineLevel="0" collapsed="false">
      <c r="H18" s="77"/>
      <c r="I18" s="77"/>
      <c r="K18" s="77"/>
      <c r="L18" s="77"/>
      <c r="N18" s="77"/>
      <c r="O18" s="77"/>
      <c r="Q18" s="77"/>
      <c r="R18" s="77"/>
    </row>
    <row r="19" customFormat="false" ht="15.75" hidden="false" customHeight="false" outlineLevel="0" collapsed="false">
      <c r="A19" s="78" t="s">
        <v>207</v>
      </c>
      <c r="B19" s="78"/>
      <c r="C19" s="78"/>
      <c r="D19" s="78"/>
      <c r="H19" s="77"/>
      <c r="I19" s="77"/>
      <c r="K19" s="77"/>
      <c r="L19" s="77"/>
      <c r="N19" s="77"/>
      <c r="O19" s="77"/>
      <c r="Q19" s="77"/>
      <c r="R19" s="77"/>
    </row>
    <row r="20" customFormat="false" ht="15.75" hidden="false" customHeight="false" outlineLevel="0" collapsed="false">
      <c r="A20" s="79" t="s">
        <v>3</v>
      </c>
      <c r="B20" s="80" t="s">
        <v>208</v>
      </c>
      <c r="C20" s="81" t="s">
        <v>209</v>
      </c>
      <c r="D20" s="81"/>
    </row>
    <row r="21" customFormat="false" ht="15.75" hidden="false" customHeight="false" outlineLevel="0" collapsed="false">
      <c r="A21" s="82" t="n">
        <v>45731</v>
      </c>
      <c r="B21" s="82" t="s">
        <v>210</v>
      </c>
      <c r="C21" s="83" t="s">
        <v>211</v>
      </c>
      <c r="D21" s="83"/>
    </row>
    <row r="22" customFormat="false" ht="15.75" hidden="false" customHeight="false" outlineLevel="0" collapsed="false">
      <c r="A22" s="82" t="n">
        <v>45732</v>
      </c>
      <c r="B22" s="84" t="s">
        <v>212</v>
      </c>
      <c r="C22" s="83" t="s">
        <v>211</v>
      </c>
      <c r="D22" s="83"/>
    </row>
    <row r="23" customFormat="false" ht="15.75" hidden="false" customHeight="false" outlineLevel="0" collapsed="false">
      <c r="A23" s="82" t="n">
        <v>45736</v>
      </c>
      <c r="B23" s="0" t="s">
        <v>213</v>
      </c>
      <c r="C23" s="83" t="s">
        <v>211</v>
      </c>
      <c r="D23" s="83"/>
      <c r="H23" s="77"/>
      <c r="I23" s="77"/>
      <c r="K23" s="77"/>
      <c r="L23" s="77"/>
      <c r="N23" s="77"/>
      <c r="O23" s="77"/>
      <c r="Q23" s="77"/>
      <c r="R23" s="77"/>
    </row>
    <row r="24" customFormat="false" ht="15.75" hidden="false" customHeight="false" outlineLevel="0" collapsed="false">
      <c r="A24" s="82"/>
      <c r="B24" s="84"/>
      <c r="C24" s="85"/>
      <c r="D24" s="85"/>
      <c r="H24" s="77"/>
      <c r="I24" s="77"/>
      <c r="K24" s="77"/>
      <c r="L24" s="77"/>
      <c r="N24" s="77"/>
      <c r="O24" s="77"/>
      <c r="Q24" s="77"/>
      <c r="R24" s="77"/>
    </row>
    <row r="25" customFormat="false" ht="15.75" hidden="false" customHeight="false" outlineLevel="0" collapsed="false">
      <c r="A25" s="82"/>
      <c r="B25" s="84"/>
      <c r="C25" s="85"/>
      <c r="D25" s="85"/>
      <c r="H25" s="77"/>
      <c r="I25" s="77"/>
      <c r="K25" s="77"/>
      <c r="L25" s="77"/>
      <c r="N25" s="77"/>
      <c r="O25" s="77"/>
      <c r="Q25" s="77"/>
      <c r="R25" s="77"/>
    </row>
    <row r="26" customFormat="false" ht="15.75" hidden="false" customHeight="false" outlineLevel="0" collapsed="false">
      <c r="A26" s="86"/>
      <c r="B26" s="84"/>
      <c r="C26" s="83"/>
      <c r="D26" s="83"/>
      <c r="H26" s="77"/>
      <c r="I26" s="77"/>
      <c r="K26" s="77"/>
      <c r="L26" s="77"/>
      <c r="N26" s="77"/>
      <c r="O26" s="77"/>
      <c r="Q26" s="77"/>
      <c r="R26" s="77"/>
    </row>
    <row r="27" customFormat="false" ht="15.75" hidden="false" customHeight="false" outlineLevel="0" collapsed="false">
      <c r="A27" s="82"/>
      <c r="C27" s="83"/>
      <c r="D27" s="83"/>
      <c r="H27" s="77"/>
      <c r="I27" s="77"/>
      <c r="K27" s="77"/>
      <c r="L27" s="77"/>
      <c r="N27" s="77"/>
      <c r="O27" s="77"/>
      <c r="Q27" s="77"/>
      <c r="R27" s="77"/>
    </row>
    <row r="28" customFormat="false" ht="15.75" hidden="false" customHeight="false" outlineLevel="0" collapsed="false">
      <c r="A28" s="86"/>
      <c r="B28" s="84"/>
      <c r="C28" s="83"/>
      <c r="D28" s="83"/>
      <c r="H28" s="77"/>
      <c r="I28" s="77"/>
      <c r="K28" s="77"/>
      <c r="L28" s="77"/>
      <c r="N28" s="77"/>
      <c r="O28" s="77"/>
      <c r="Q28" s="77"/>
      <c r="R28" s="77"/>
    </row>
    <row r="29" customFormat="false" ht="15.75" hidden="false" customHeight="false" outlineLevel="0" collapsed="false">
      <c r="A29" s="82"/>
      <c r="C29" s="83"/>
      <c r="D29" s="83"/>
      <c r="H29" s="77"/>
      <c r="I29" s="77"/>
      <c r="K29" s="77"/>
      <c r="L29" s="77"/>
      <c r="N29" s="77"/>
      <c r="O29" s="77"/>
      <c r="Q29" s="77"/>
      <c r="R29" s="77"/>
    </row>
    <row r="30" customFormat="false" ht="15.75" hidden="false" customHeight="false" outlineLevel="0" collapsed="false">
      <c r="A30" s="82"/>
      <c r="B30" s="84"/>
      <c r="C30" s="85"/>
      <c r="D30" s="85"/>
      <c r="H30" s="77"/>
      <c r="I30" s="77"/>
      <c r="K30" s="77"/>
      <c r="L30" s="77"/>
      <c r="N30" s="77"/>
      <c r="O30" s="77"/>
      <c r="Q30" s="77"/>
      <c r="R30" s="77"/>
    </row>
    <row r="31" customFormat="false" ht="15.75" hidden="false" customHeight="false" outlineLevel="0" collapsed="false">
      <c r="A31" s="82"/>
      <c r="B31" s="84"/>
      <c r="C31" s="85"/>
      <c r="D31" s="85"/>
    </row>
    <row r="32" customFormat="false" ht="15.75" hidden="false" customHeight="false" outlineLevel="0" collapsed="false">
      <c r="A32" s="86"/>
      <c r="B32" s="84"/>
      <c r="C32" s="85"/>
      <c r="D32" s="85"/>
    </row>
    <row r="33" customFormat="false" ht="15.75" hidden="false" customHeight="false" outlineLevel="0" collapsed="false">
      <c r="A33" s="82"/>
      <c r="B33" s="84"/>
      <c r="C33" s="85"/>
      <c r="D33" s="85"/>
    </row>
    <row r="34" customFormat="false" ht="15.75" hidden="false" customHeight="false" outlineLevel="0" collapsed="false">
      <c r="A34" s="82"/>
      <c r="B34" s="11"/>
      <c r="C34" s="85"/>
      <c r="D34" s="85"/>
    </row>
    <row r="35" customFormat="false" ht="15.75" hidden="false" customHeight="false" outlineLevel="0" collapsed="false">
      <c r="A35" s="82"/>
      <c r="B35" s="11"/>
      <c r="C35" s="85"/>
      <c r="D35" s="85"/>
    </row>
    <row r="36" customFormat="false" ht="15.75" hidden="false" customHeight="false" outlineLevel="0" collapsed="false">
      <c r="A36" s="82"/>
      <c r="B36" s="11"/>
      <c r="C36" s="85"/>
      <c r="D36" s="85"/>
    </row>
    <row r="37" customFormat="false" ht="15.75" hidden="false" customHeight="false" outlineLevel="0" collapsed="false">
      <c r="A37" s="82"/>
      <c r="B37" s="11"/>
      <c r="C37" s="85"/>
      <c r="D37" s="85"/>
    </row>
    <row r="38" customFormat="false" ht="15.75" hidden="false" customHeight="false" outlineLevel="0" collapsed="false">
      <c r="A38" s="82"/>
      <c r="B38" s="11"/>
      <c r="C38" s="85"/>
      <c r="D38" s="85"/>
    </row>
    <row r="39" customFormat="false" ht="15.75" hidden="false" customHeight="false" outlineLevel="0" collapsed="false">
      <c r="A39" s="82"/>
      <c r="B39" s="11"/>
      <c r="C39" s="85"/>
      <c r="D39" s="85"/>
    </row>
    <row r="40" customFormat="false" ht="15.75" hidden="false" customHeight="false" outlineLevel="0" collapsed="false">
      <c r="A40" s="82"/>
      <c r="B40" s="11"/>
      <c r="C40" s="85"/>
      <c r="D40" s="85"/>
    </row>
    <row r="41" customFormat="false" ht="15.75" hidden="false" customHeight="false" outlineLevel="0" collapsed="false">
      <c r="A41" s="82"/>
      <c r="B41" s="11"/>
      <c r="C41" s="85"/>
      <c r="D41" s="85"/>
    </row>
    <row r="42" customFormat="false" ht="15.75" hidden="false" customHeight="false" outlineLevel="0" collapsed="false">
      <c r="A42" s="82"/>
      <c r="B42" s="11"/>
      <c r="C42" s="85"/>
      <c r="D42" s="85"/>
    </row>
    <row r="43" customFormat="false" ht="15.75" hidden="false" customHeight="false" outlineLevel="0" collapsed="false">
      <c r="A43" s="82"/>
      <c r="B43" s="11"/>
      <c r="C43" s="85"/>
      <c r="D43" s="85"/>
    </row>
    <row r="44" customFormat="false" ht="15.75" hidden="false" customHeight="false" outlineLevel="0" collapsed="false">
      <c r="A44" s="82"/>
      <c r="B44" s="11"/>
      <c r="C44" s="85"/>
      <c r="D44" s="85"/>
    </row>
    <row r="45" customFormat="false" ht="15.75" hidden="false" customHeight="false" outlineLevel="0" collapsed="false">
      <c r="A45" s="82"/>
      <c r="B45" s="11"/>
      <c r="C45" s="85"/>
      <c r="D45" s="85"/>
    </row>
  </sheetData>
  <mergeCells count="39">
    <mergeCell ref="H2:I9"/>
    <mergeCell ref="K2:L9"/>
    <mergeCell ref="N2:O9"/>
    <mergeCell ref="Q2:R9"/>
    <mergeCell ref="H12:I19"/>
    <mergeCell ref="K12:L19"/>
    <mergeCell ref="N12:O19"/>
    <mergeCell ref="Q12:R19"/>
    <mergeCell ref="A19:D19"/>
    <mergeCell ref="C20:D20"/>
    <mergeCell ref="C21:D21"/>
    <mergeCell ref="C22:D22"/>
    <mergeCell ref="C23:D23"/>
    <mergeCell ref="H23:I30"/>
    <mergeCell ref="K23:L30"/>
    <mergeCell ref="N23:O30"/>
    <mergeCell ref="Q23:R30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H39"/>
  <sheetViews>
    <sheetView showFormulas="false" showGridLines="true" showRowColHeaders="true" showZeros="true" rightToLeft="false" tabSelected="false" showOutlineSymbols="true" defaultGridColor="true" view="normal" topLeftCell="A7" colorId="64" zoomScale="65" zoomScaleNormal="65" zoomScalePageLayoutView="100" workbookViewId="0">
      <selection pane="topLeft" activeCell="I35" activeCellId="0" sqref="I35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8.14"/>
    <col collapsed="false" customWidth="true" hidden="false" outlineLevel="0" max="3" min="3" style="0" width="13.57"/>
    <col collapsed="false" customWidth="true" hidden="false" outlineLevel="0" max="4" min="4" style="0" width="11.71"/>
    <col collapsed="false" customWidth="true" hidden="false" outlineLevel="0" max="5" min="5" style="0" width="7.85"/>
    <col collapsed="false" customWidth="true" hidden="false" outlineLevel="0" max="7" min="6" style="0" width="14.71"/>
    <col collapsed="false" customWidth="true" hidden="false" outlineLevel="0" max="8" min="8" style="0" width="15.28"/>
    <col collapsed="false" customWidth="true" hidden="false" outlineLevel="0" max="10" min="10" style="0" width="16.57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  <c r="H5" s="92" t="s">
        <v>218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3" t="n">
        <v>45778</v>
      </c>
      <c r="C7" s="94" t="s">
        <v>219</v>
      </c>
      <c r="D7" s="94" t="s">
        <v>219</v>
      </c>
      <c r="E7" s="94" t="s">
        <v>219</v>
      </c>
      <c r="F7" s="94" t="s">
        <v>219</v>
      </c>
      <c r="H7" s="95" t="n">
        <v>0</v>
      </c>
    </row>
    <row r="8" customFormat="false" ht="15.75" hidden="false" customHeight="false" outlineLevel="0" collapsed="false">
      <c r="B8" s="96" t="n">
        <v>45779</v>
      </c>
      <c r="C8" s="94" t="n">
        <v>0.166666666666667</v>
      </c>
      <c r="D8" s="94" t="n">
        <v>0.458333333333333</v>
      </c>
      <c r="E8" s="94" t="n">
        <v>0.0208333333333333</v>
      </c>
      <c r="F8" s="97" t="n">
        <f aca="false">(D8-C8) *24-0.5</f>
        <v>6.5</v>
      </c>
      <c r="H8" s="95" t="n">
        <v>2</v>
      </c>
    </row>
    <row r="9" customFormat="false" ht="15.75" hidden="false" customHeight="false" outlineLevel="0" collapsed="false">
      <c r="B9" s="96" t="n">
        <v>45780</v>
      </c>
      <c r="C9" s="94" t="n">
        <v>0.25</v>
      </c>
      <c r="D9" s="94" t="n">
        <v>0.4375</v>
      </c>
      <c r="E9" s="94" t="n">
        <v>0.0208333333333333</v>
      </c>
      <c r="F9" s="97" t="n">
        <f aca="false">(D9-C9) *24-0.5</f>
        <v>4</v>
      </c>
      <c r="H9" s="98" t="n">
        <v>0</v>
      </c>
    </row>
    <row r="10" customFormat="false" ht="15.75" hidden="false" customHeight="false" outlineLevel="0" collapsed="false">
      <c r="B10" s="99" t="n">
        <v>45781</v>
      </c>
      <c r="C10" s="94" t="s">
        <v>219</v>
      </c>
      <c r="D10" s="94" t="s">
        <v>219</v>
      </c>
      <c r="E10" s="94" t="s">
        <v>219</v>
      </c>
      <c r="F10" s="94" t="s">
        <v>219</v>
      </c>
      <c r="H10" s="98" t="n">
        <v>0</v>
      </c>
    </row>
    <row r="11" customFormat="false" ht="15.75" hidden="false" customHeight="false" outlineLevel="0" collapsed="false">
      <c r="B11" s="96" t="n">
        <v>45782</v>
      </c>
      <c r="C11" s="94" t="n">
        <v>0.166666666666667</v>
      </c>
      <c r="D11" s="94" t="n">
        <v>0.479166666666667</v>
      </c>
      <c r="E11" s="94" t="n">
        <v>0.0208333333333333</v>
      </c>
      <c r="F11" s="97" t="n">
        <f aca="false">(D11-C11) *24-0.5</f>
        <v>7</v>
      </c>
      <c r="H11" s="98" t="n">
        <v>2</v>
      </c>
    </row>
    <row r="12" customFormat="false" ht="15.75" hidden="false" customHeight="false" outlineLevel="0" collapsed="false">
      <c r="B12" s="96" t="n">
        <v>45783</v>
      </c>
      <c r="C12" s="94" t="n">
        <v>0.166666666666667</v>
      </c>
      <c r="D12" s="94" t="n">
        <v>0.479166666666667</v>
      </c>
      <c r="E12" s="94" t="n">
        <v>0.0208333333333333</v>
      </c>
      <c r="F12" s="97" t="n">
        <f aca="false">(D12-C12) *24-0.5</f>
        <v>7</v>
      </c>
      <c r="H12" s="98" t="n">
        <v>2</v>
      </c>
    </row>
    <row r="13" customFormat="false" ht="15.75" hidden="false" customHeight="false" outlineLevel="0" collapsed="false">
      <c r="B13" s="96" t="n">
        <v>45784</v>
      </c>
      <c r="C13" s="94" t="n">
        <v>0.166666666666667</v>
      </c>
      <c r="D13" s="94" t="n">
        <v>0.479166666666667</v>
      </c>
      <c r="E13" s="94" t="n">
        <v>0.0208333333333333</v>
      </c>
      <c r="F13" s="97" t="n">
        <f aca="false">(D13-C13) *24-0.5</f>
        <v>7</v>
      </c>
      <c r="H13" s="98" t="n">
        <v>2</v>
      </c>
    </row>
    <row r="14" customFormat="false" ht="15.75" hidden="false" customHeight="false" outlineLevel="0" collapsed="false">
      <c r="B14" s="96" t="n">
        <v>45785</v>
      </c>
      <c r="C14" s="94" t="n">
        <v>0.166666666666667</v>
      </c>
      <c r="D14" s="94" t="n">
        <v>0.479166666666667</v>
      </c>
      <c r="E14" s="94" t="n">
        <v>0.0208333333333333</v>
      </c>
      <c r="F14" s="97" t="n">
        <f aca="false">(D14-C14) *24-0.5</f>
        <v>7</v>
      </c>
      <c r="H14" s="98" t="n">
        <v>2</v>
      </c>
    </row>
    <row r="15" customFormat="false" ht="15.75" hidden="false" customHeight="false" outlineLevel="0" collapsed="false">
      <c r="B15" s="96" t="n">
        <v>45786</v>
      </c>
      <c r="C15" s="94" t="n">
        <v>0.166666666666667</v>
      </c>
      <c r="D15" s="94" t="n">
        <v>0.479166666666667</v>
      </c>
      <c r="E15" s="94" t="n">
        <v>0.0208333333333333</v>
      </c>
      <c r="F15" s="97" t="n">
        <f aca="false">(D15-C15) *24-0.5</f>
        <v>7</v>
      </c>
      <c r="H15" s="98" t="n">
        <v>2</v>
      </c>
    </row>
    <row r="16" customFormat="false" ht="15.75" hidden="false" customHeight="false" outlineLevel="0" collapsed="false">
      <c r="B16" s="96" t="n">
        <v>45787</v>
      </c>
      <c r="C16" s="94" t="n">
        <v>0.25</v>
      </c>
      <c r="D16" s="94" t="n">
        <v>0.520833333333333</v>
      </c>
      <c r="E16" s="94" t="n">
        <v>0.0208333333333333</v>
      </c>
      <c r="F16" s="97" t="n">
        <f aca="false">(D16-C16) *24-0.5</f>
        <v>6</v>
      </c>
      <c r="H16" s="98" t="n">
        <v>0</v>
      </c>
    </row>
    <row r="17" customFormat="false" ht="15.75" hidden="false" customHeight="false" outlineLevel="0" collapsed="false">
      <c r="B17" s="99" t="n">
        <v>45788</v>
      </c>
      <c r="C17" s="94" t="s">
        <v>219</v>
      </c>
      <c r="D17" s="94" t="s">
        <v>219</v>
      </c>
      <c r="E17" s="94" t="s">
        <v>219</v>
      </c>
      <c r="F17" s="94" t="s">
        <v>219</v>
      </c>
      <c r="H17" s="98" t="n">
        <v>0</v>
      </c>
    </row>
    <row r="18" customFormat="false" ht="15.75" hidden="false" customHeight="false" outlineLevel="0" collapsed="false">
      <c r="B18" s="96" t="n">
        <v>45789</v>
      </c>
      <c r="C18" s="94" t="n">
        <v>0.166666666666667</v>
      </c>
      <c r="D18" s="94" t="n">
        <v>0.479166666666667</v>
      </c>
      <c r="E18" s="94" t="n">
        <v>0.0208333333333333</v>
      </c>
      <c r="F18" s="97" t="n">
        <f aca="false">(D18-C18) *24-0.5</f>
        <v>7</v>
      </c>
      <c r="H18" s="98" t="n">
        <v>2</v>
      </c>
    </row>
    <row r="19" customFormat="false" ht="15.75" hidden="false" customHeight="false" outlineLevel="0" collapsed="false">
      <c r="B19" s="96" t="n">
        <v>45790</v>
      </c>
      <c r="C19" s="94" t="n">
        <v>0.166666666666667</v>
      </c>
      <c r="D19" s="94" t="n">
        <v>0.479166666666667</v>
      </c>
      <c r="E19" s="94" t="n">
        <v>0.0208333333333333</v>
      </c>
      <c r="F19" s="97" t="n">
        <f aca="false">(D19-C19) *24-0.5</f>
        <v>7</v>
      </c>
      <c r="H19" s="98" t="n">
        <v>2</v>
      </c>
    </row>
    <row r="20" customFormat="false" ht="15.75" hidden="false" customHeight="false" outlineLevel="0" collapsed="false">
      <c r="B20" s="96" t="n">
        <v>45791</v>
      </c>
      <c r="C20" s="100" t="s">
        <v>220</v>
      </c>
      <c r="D20" s="100"/>
      <c r="E20" s="100"/>
      <c r="F20" s="100"/>
      <c r="H20" s="98" t="n">
        <v>0</v>
      </c>
    </row>
    <row r="21" customFormat="false" ht="15.75" hidden="false" customHeight="false" outlineLevel="0" collapsed="false">
      <c r="B21" s="96" t="n">
        <v>45792</v>
      </c>
      <c r="C21" s="100"/>
      <c r="D21" s="100"/>
      <c r="E21" s="100"/>
      <c r="F21" s="100"/>
      <c r="H21" s="98" t="n">
        <v>0</v>
      </c>
    </row>
    <row r="22" customFormat="false" ht="15.75" hidden="false" customHeight="false" outlineLevel="0" collapsed="false">
      <c r="B22" s="96" t="n">
        <v>45793</v>
      </c>
      <c r="C22" s="100"/>
      <c r="D22" s="100"/>
      <c r="E22" s="100"/>
      <c r="F22" s="100"/>
      <c r="H22" s="98" t="n">
        <v>0</v>
      </c>
    </row>
    <row r="23" customFormat="false" ht="15.75" hidden="false" customHeight="false" outlineLevel="0" collapsed="false">
      <c r="B23" s="96" t="n">
        <v>45794</v>
      </c>
      <c r="C23" s="100"/>
      <c r="D23" s="100"/>
      <c r="E23" s="100"/>
      <c r="F23" s="100"/>
      <c r="H23" s="98" t="n">
        <v>0</v>
      </c>
    </row>
    <row r="24" customFormat="false" ht="15.75" hidden="false" customHeight="false" outlineLevel="0" collapsed="false">
      <c r="B24" s="99" t="n">
        <v>45795</v>
      </c>
      <c r="C24" s="100"/>
      <c r="D24" s="100"/>
      <c r="E24" s="100"/>
      <c r="F24" s="100"/>
      <c r="H24" s="98" t="n">
        <v>0</v>
      </c>
    </row>
    <row r="25" customFormat="false" ht="15.75" hidden="false" customHeight="false" outlineLevel="0" collapsed="false">
      <c r="B25" s="96" t="n">
        <v>45796</v>
      </c>
      <c r="C25" s="100"/>
      <c r="D25" s="100"/>
      <c r="E25" s="100"/>
      <c r="F25" s="100"/>
      <c r="H25" s="98" t="n">
        <v>0</v>
      </c>
    </row>
    <row r="26" customFormat="false" ht="15.75" hidden="false" customHeight="false" outlineLevel="0" collapsed="false">
      <c r="B26" s="96" t="n">
        <v>45797</v>
      </c>
      <c r="C26" s="100"/>
      <c r="D26" s="100"/>
      <c r="E26" s="100"/>
      <c r="F26" s="100"/>
      <c r="H26" s="98" t="n">
        <v>0</v>
      </c>
    </row>
    <row r="27" customFormat="false" ht="15.75" hidden="false" customHeight="false" outlineLevel="0" collapsed="false">
      <c r="B27" s="96" t="n">
        <v>45798</v>
      </c>
      <c r="C27" s="100"/>
      <c r="D27" s="100"/>
      <c r="E27" s="100"/>
      <c r="F27" s="100"/>
      <c r="H27" s="98" t="n">
        <v>0</v>
      </c>
    </row>
    <row r="28" customFormat="false" ht="15.75" hidden="false" customHeight="false" outlineLevel="0" collapsed="false">
      <c r="B28" s="96" t="n">
        <v>45799</v>
      </c>
      <c r="C28" s="100"/>
      <c r="D28" s="100"/>
      <c r="E28" s="100"/>
      <c r="F28" s="100"/>
      <c r="H28" s="98" t="n">
        <v>0</v>
      </c>
    </row>
    <row r="29" customFormat="false" ht="15.75" hidden="false" customHeight="false" outlineLevel="0" collapsed="false">
      <c r="B29" s="96" t="n">
        <v>45800</v>
      </c>
      <c r="C29" s="94" t="n">
        <v>0.166666666666667</v>
      </c>
      <c r="D29" s="94" t="n">
        <v>0.458333333333333</v>
      </c>
      <c r="E29" s="94" t="n">
        <v>0.0208333333333333</v>
      </c>
      <c r="F29" s="97" t="n">
        <f aca="false">(D29-C29) *24-0.5</f>
        <v>6.5</v>
      </c>
      <c r="H29" s="98" t="n">
        <v>2</v>
      </c>
    </row>
    <row r="30" customFormat="false" ht="15.75" hidden="false" customHeight="false" outlineLevel="0" collapsed="false">
      <c r="B30" s="96" t="n">
        <v>45801</v>
      </c>
      <c r="C30" s="94" t="n">
        <v>0.25</v>
      </c>
      <c r="D30" s="94" t="n">
        <v>0.520833333333333</v>
      </c>
      <c r="E30" s="94" t="n">
        <v>0.0208333333333333</v>
      </c>
      <c r="F30" s="97" t="n">
        <f aca="false">(D30-C30) *24-0.5</f>
        <v>6</v>
      </c>
      <c r="H30" s="98" t="n">
        <v>0</v>
      </c>
    </row>
    <row r="31" customFormat="false" ht="15.75" hidden="false" customHeight="false" outlineLevel="0" collapsed="false">
      <c r="B31" s="99" t="n">
        <v>45802</v>
      </c>
      <c r="C31" s="94" t="s">
        <v>219</v>
      </c>
      <c r="D31" s="94" t="s">
        <v>219</v>
      </c>
      <c r="E31" s="94" t="s">
        <v>219</v>
      </c>
      <c r="F31" s="94" t="s">
        <v>219</v>
      </c>
      <c r="H31" s="98" t="n">
        <v>0</v>
      </c>
    </row>
    <row r="32" customFormat="false" ht="15.75" hidden="false" customHeight="false" outlineLevel="0" collapsed="false">
      <c r="B32" s="96" t="n">
        <v>45803</v>
      </c>
      <c r="C32" s="94" t="n">
        <v>0.166666666666667</v>
      </c>
      <c r="D32" s="94" t="n">
        <v>0.458333333333333</v>
      </c>
      <c r="E32" s="94" t="n">
        <v>0.0208333333333333</v>
      </c>
      <c r="F32" s="97" t="n">
        <f aca="false">(D32-C32) *24-0.5</f>
        <v>6.5</v>
      </c>
      <c r="H32" s="98" t="n">
        <v>2</v>
      </c>
    </row>
    <row r="33" customFormat="false" ht="15.75" hidden="false" customHeight="false" outlineLevel="0" collapsed="false">
      <c r="B33" s="96" t="n">
        <v>45804</v>
      </c>
      <c r="C33" s="94" t="n">
        <v>0.166666666666667</v>
      </c>
      <c r="D33" s="94" t="n">
        <v>0.458333333333333</v>
      </c>
      <c r="E33" s="94" t="n">
        <v>0.0208333333333333</v>
      </c>
      <c r="F33" s="97" t="n">
        <f aca="false">(D33-C33) *24-0.5</f>
        <v>6.5</v>
      </c>
      <c r="H33" s="98" t="n">
        <v>2</v>
      </c>
    </row>
    <row r="34" customFormat="false" ht="15.75" hidden="false" customHeight="false" outlineLevel="0" collapsed="false">
      <c r="B34" s="96" t="n">
        <v>45805</v>
      </c>
      <c r="C34" s="94" t="n">
        <v>0.166666666666667</v>
      </c>
      <c r="D34" s="94" t="n">
        <v>0.479166666666667</v>
      </c>
      <c r="E34" s="94" t="n">
        <v>0.0208333333333333</v>
      </c>
      <c r="F34" s="97" t="n">
        <f aca="false">(D34-C34) *24-0.5</f>
        <v>7</v>
      </c>
      <c r="H34" s="98" t="n">
        <v>2</v>
      </c>
    </row>
    <row r="35" customFormat="false" ht="15.75" hidden="false" customHeight="false" outlineLevel="0" collapsed="false">
      <c r="B35" s="96" t="n">
        <v>45806</v>
      </c>
      <c r="C35" s="94" t="n">
        <v>0.166666666666667</v>
      </c>
      <c r="D35" s="94" t="n">
        <v>0.458333333333333</v>
      </c>
      <c r="E35" s="94" t="n">
        <v>0.0208333333333333</v>
      </c>
      <c r="F35" s="97" t="n">
        <f aca="false">(D35-C35) *24-0.5</f>
        <v>6.5</v>
      </c>
      <c r="H35" s="98" t="n">
        <v>2</v>
      </c>
    </row>
    <row r="36" customFormat="false" ht="15.75" hidden="false" customHeight="false" outlineLevel="0" collapsed="false">
      <c r="B36" s="96" t="n">
        <v>45807</v>
      </c>
      <c r="C36" s="94" t="n">
        <v>0.166666666666667</v>
      </c>
      <c r="D36" s="94" t="n">
        <v>0.541666666666667</v>
      </c>
      <c r="E36" s="94" t="n">
        <v>0.0208333333333333</v>
      </c>
      <c r="F36" s="97" t="n">
        <f aca="false">(D36-C36) *24-0.5</f>
        <v>8.5</v>
      </c>
      <c r="H36" s="98" t="n">
        <v>2</v>
      </c>
    </row>
    <row r="37" customFormat="false" ht="15.75" hidden="false" customHeight="false" outlineLevel="0" collapsed="false">
      <c r="B37" s="96" t="n">
        <v>45808</v>
      </c>
      <c r="C37" s="94" t="n">
        <v>0.25</v>
      </c>
      <c r="D37" s="94" t="n">
        <v>0.541666666666667</v>
      </c>
      <c r="E37" s="94" t="n">
        <v>0.0208333333333333</v>
      </c>
      <c r="F37" s="97" t="n">
        <f aca="false">(D37-C37) *24-0.5</f>
        <v>6.5</v>
      </c>
      <c r="H37" s="97" t="n">
        <v>0</v>
      </c>
    </row>
    <row r="38" customFormat="false" ht="15.75" hidden="false" customHeight="false" outlineLevel="0" collapsed="false">
      <c r="E38" s="101" t="s">
        <v>24</v>
      </c>
      <c r="F38" s="102" t="s">
        <v>221</v>
      </c>
      <c r="H38" s="92" t="s">
        <v>24</v>
      </c>
    </row>
    <row r="39" customFormat="false" ht="15.75" hidden="false" customHeight="false" outlineLevel="0" collapsed="false">
      <c r="E39" s="103" t="n">
        <f aca="false">SUM(E7:E36)</f>
        <v>0.354166666666667</v>
      </c>
      <c r="F39" s="13" t="n">
        <f aca="false">SUM(F6:F36)</f>
        <v>113</v>
      </c>
      <c r="H39" s="11" t="n">
        <f aca="false">SUM(H7:H37)</f>
        <v>28</v>
      </c>
    </row>
  </sheetData>
  <mergeCells count="1">
    <mergeCell ref="C20:F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H38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F37" activeCellId="0" sqref="F37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8.14"/>
    <col collapsed="false" customWidth="true" hidden="false" outlineLevel="0" max="3" min="3" style="0" width="13.57"/>
    <col collapsed="false" customWidth="true" hidden="false" outlineLevel="0" max="4" min="4" style="0" width="11.71"/>
    <col collapsed="false" customWidth="true" hidden="false" outlineLevel="0" max="5" min="5" style="0" width="7.85"/>
    <col collapsed="false" customWidth="true" hidden="false" outlineLevel="0" max="6" min="6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6" t="n">
        <v>45748</v>
      </c>
      <c r="C7" s="94" t="n">
        <v>0</v>
      </c>
      <c r="D7" s="94" t="n">
        <v>0.322916666666667</v>
      </c>
      <c r="E7" s="94" t="n">
        <v>0.0208333333333333</v>
      </c>
      <c r="F7" s="97" t="n">
        <v>7.2</v>
      </c>
      <c r="H7" s="0" t="n">
        <f aca="false">6+6+6+6+6+6+6+6+6+6+6+2+2+2+2+4+6+2+2+2+2+6+2+2+2</f>
        <v>104</v>
      </c>
    </row>
    <row r="8" customFormat="false" ht="15.75" hidden="false" customHeight="false" outlineLevel="0" collapsed="false">
      <c r="B8" s="96" t="n">
        <v>45749</v>
      </c>
      <c r="C8" s="94" t="n">
        <v>0</v>
      </c>
      <c r="D8" s="94" t="n">
        <v>0.322916666666667</v>
      </c>
      <c r="E8" s="94" t="n">
        <v>0.0208333333333333</v>
      </c>
      <c r="F8" s="97" t="n">
        <v>7.3</v>
      </c>
    </row>
    <row r="9" customFormat="false" ht="15.75" hidden="false" customHeight="false" outlineLevel="0" collapsed="false">
      <c r="B9" s="96" t="n">
        <v>45750</v>
      </c>
      <c r="C9" s="94" t="n">
        <v>0</v>
      </c>
      <c r="D9" s="94" t="n">
        <v>0.34375</v>
      </c>
      <c r="E9" s="94" t="n">
        <v>0.0208333333333333</v>
      </c>
      <c r="F9" s="97" t="n">
        <v>7.7</v>
      </c>
    </row>
    <row r="10" customFormat="false" ht="15.75" hidden="false" customHeight="false" outlineLevel="0" collapsed="false">
      <c r="B10" s="96" t="n">
        <v>45751</v>
      </c>
      <c r="C10" s="94" t="n">
        <v>0</v>
      </c>
      <c r="D10" s="94" t="n">
        <v>0.34375</v>
      </c>
      <c r="E10" s="94" t="n">
        <v>0.0208333333333333</v>
      </c>
      <c r="F10" s="97" t="n">
        <v>7.8</v>
      </c>
    </row>
    <row r="11" customFormat="false" ht="15.75" hidden="false" customHeight="false" outlineLevel="0" collapsed="false">
      <c r="B11" s="96" t="n">
        <v>45752</v>
      </c>
      <c r="C11" s="94" t="n">
        <v>0</v>
      </c>
      <c r="D11" s="94" t="n">
        <v>0.302083333333333</v>
      </c>
      <c r="E11" s="94" t="n">
        <v>0.0208333333333333</v>
      </c>
      <c r="F11" s="97" t="n">
        <v>6.8</v>
      </c>
    </row>
    <row r="12" customFormat="false" ht="15.75" hidden="false" customHeight="false" outlineLevel="0" collapsed="false">
      <c r="B12" s="99" t="n">
        <v>45753</v>
      </c>
      <c r="C12" s="94" t="s">
        <v>219</v>
      </c>
      <c r="D12" s="94" t="s">
        <v>219</v>
      </c>
      <c r="E12" s="94" t="s">
        <v>219</v>
      </c>
      <c r="F12" s="94" t="s">
        <v>219</v>
      </c>
    </row>
    <row r="13" customFormat="false" ht="15.75" hidden="false" customHeight="false" outlineLevel="0" collapsed="false">
      <c r="B13" s="96" t="n">
        <v>45754</v>
      </c>
      <c r="C13" s="94" t="n">
        <v>0</v>
      </c>
      <c r="D13" s="94" t="n">
        <v>0.354166666666667</v>
      </c>
      <c r="E13" s="94" t="n">
        <v>0.0208333333333333</v>
      </c>
      <c r="F13" s="97" t="n">
        <v>8</v>
      </c>
    </row>
    <row r="14" customFormat="false" ht="15.75" hidden="false" customHeight="false" outlineLevel="0" collapsed="false">
      <c r="B14" s="96" t="n">
        <v>45755</v>
      </c>
      <c r="C14" s="94" t="n">
        <v>0</v>
      </c>
      <c r="D14" s="94" t="n">
        <v>0.322916666666667</v>
      </c>
      <c r="E14" s="94" t="n">
        <v>0.0208333333333333</v>
      </c>
      <c r="F14" s="97" t="n">
        <v>7.2</v>
      </c>
    </row>
    <row r="15" customFormat="false" ht="15.75" hidden="false" customHeight="false" outlineLevel="0" collapsed="false">
      <c r="B15" s="96" t="n">
        <v>45756</v>
      </c>
      <c r="C15" s="94" t="n">
        <v>0</v>
      </c>
      <c r="D15" s="94" t="n">
        <v>0.322916666666667</v>
      </c>
      <c r="E15" s="94" t="n">
        <v>0.0208333333333333</v>
      </c>
      <c r="F15" s="97" t="n">
        <v>7.3</v>
      </c>
    </row>
    <row r="16" customFormat="false" ht="15.75" hidden="false" customHeight="false" outlineLevel="0" collapsed="false">
      <c r="B16" s="96" t="n">
        <v>45757</v>
      </c>
      <c r="C16" s="94" t="n">
        <v>0</v>
      </c>
      <c r="D16" s="94" t="n">
        <v>0.3125</v>
      </c>
      <c r="E16" s="94" t="n">
        <v>0.0208333333333333</v>
      </c>
      <c r="F16" s="97" t="n">
        <v>7</v>
      </c>
    </row>
    <row r="17" customFormat="false" ht="15.75" hidden="false" customHeight="false" outlineLevel="0" collapsed="false">
      <c r="B17" s="96" t="n">
        <v>45758</v>
      </c>
      <c r="C17" s="104" t="n">
        <v>0</v>
      </c>
      <c r="D17" s="94" t="n">
        <v>0.333333333333333</v>
      </c>
      <c r="E17" s="94" t="n">
        <v>0.0208333333333333</v>
      </c>
      <c r="F17" s="97" t="n">
        <v>7.5</v>
      </c>
    </row>
    <row r="18" customFormat="false" ht="15.75" hidden="false" customHeight="false" outlineLevel="0" collapsed="false">
      <c r="B18" s="96" t="n">
        <v>45759</v>
      </c>
      <c r="C18" s="94" t="n">
        <v>0</v>
      </c>
      <c r="D18" s="94" t="n">
        <v>0.291666666666667</v>
      </c>
      <c r="E18" s="94" t="n">
        <v>0.0208333333333333</v>
      </c>
      <c r="F18" s="97" t="n">
        <v>6.5</v>
      </c>
    </row>
    <row r="19" customFormat="false" ht="15.75" hidden="false" customHeight="false" outlineLevel="0" collapsed="false">
      <c r="B19" s="99" t="n">
        <v>45760</v>
      </c>
      <c r="C19" s="94" t="s">
        <v>219</v>
      </c>
      <c r="D19" s="94" t="s">
        <v>219</v>
      </c>
      <c r="E19" s="94" t="s">
        <v>219</v>
      </c>
      <c r="F19" s="94" t="s">
        <v>219</v>
      </c>
    </row>
    <row r="20" customFormat="false" ht="15.75" hidden="false" customHeight="false" outlineLevel="0" collapsed="false">
      <c r="B20" s="96" t="n">
        <v>45761</v>
      </c>
      <c r="C20" s="94" t="n">
        <v>0.166666666666667</v>
      </c>
      <c r="D20" s="94" t="n">
        <v>0.520833333333333</v>
      </c>
      <c r="E20" s="94" t="n">
        <v>0.0208333333333333</v>
      </c>
      <c r="F20" s="97" t="n">
        <v>8</v>
      </c>
    </row>
    <row r="21" customFormat="false" ht="15.75" hidden="false" customHeight="false" outlineLevel="0" collapsed="false">
      <c r="B21" s="96" t="n">
        <v>45762</v>
      </c>
      <c r="C21" s="94" t="n">
        <v>0.166666666666667</v>
      </c>
      <c r="D21" s="94" t="n">
        <v>0.46875</v>
      </c>
      <c r="E21" s="94" t="n">
        <v>0.0208333333333333</v>
      </c>
      <c r="F21" s="97" t="n">
        <v>6.7</v>
      </c>
    </row>
    <row r="22" customFormat="false" ht="15.75" hidden="false" customHeight="false" outlineLevel="0" collapsed="false">
      <c r="B22" s="96" t="n">
        <v>45763</v>
      </c>
      <c r="C22" s="94" t="n">
        <v>0.166666666666667</v>
      </c>
      <c r="D22" s="94" t="n">
        <v>0.479166666666667</v>
      </c>
      <c r="E22" s="94" t="n">
        <v>0.0208333333333333</v>
      </c>
      <c r="F22" s="97" t="n">
        <v>7</v>
      </c>
    </row>
    <row r="23" customFormat="false" ht="15.75" hidden="false" customHeight="false" outlineLevel="0" collapsed="false">
      <c r="B23" s="96" t="n">
        <v>45764</v>
      </c>
      <c r="C23" s="94" t="n">
        <v>0.166666666666667</v>
      </c>
      <c r="D23" s="94" t="n">
        <v>0.458333333333333</v>
      </c>
      <c r="E23" s="94" t="n">
        <v>0.0208333333333333</v>
      </c>
      <c r="F23" s="97" t="n">
        <v>6.5</v>
      </c>
    </row>
    <row r="24" customFormat="false" ht="15.75" hidden="false" customHeight="false" outlineLevel="0" collapsed="false">
      <c r="B24" s="96" t="n">
        <v>45765</v>
      </c>
      <c r="C24" s="94" t="n">
        <v>0.0833333333333333</v>
      </c>
      <c r="D24" s="94" t="n">
        <v>0.53125</v>
      </c>
      <c r="E24" s="94" t="n">
        <v>0.0208333333333333</v>
      </c>
      <c r="F24" s="97" t="n">
        <v>10.8</v>
      </c>
    </row>
    <row r="25" customFormat="false" ht="15.75" hidden="false" customHeight="false" outlineLevel="0" collapsed="false">
      <c r="B25" s="96" t="n">
        <v>45766</v>
      </c>
      <c r="C25" s="94" t="n">
        <v>0</v>
      </c>
      <c r="D25" s="94" t="n">
        <v>0.270833333333333</v>
      </c>
      <c r="E25" s="94" t="n">
        <v>0.0208333333333333</v>
      </c>
      <c r="F25" s="97" t="n">
        <v>6</v>
      </c>
    </row>
    <row r="26" customFormat="false" ht="15.75" hidden="false" customHeight="false" outlineLevel="0" collapsed="false">
      <c r="B26" s="99" t="n">
        <v>45767</v>
      </c>
      <c r="C26" s="94" t="s">
        <v>219</v>
      </c>
      <c r="D26" s="94" t="s">
        <v>219</v>
      </c>
      <c r="E26" s="94" t="s">
        <v>219</v>
      </c>
      <c r="F26" s="94" t="s">
        <v>219</v>
      </c>
    </row>
    <row r="27" customFormat="false" ht="15.75" hidden="false" customHeight="false" outlineLevel="0" collapsed="false">
      <c r="B27" s="93" t="n">
        <v>45768</v>
      </c>
      <c r="C27" s="94" t="s">
        <v>219</v>
      </c>
      <c r="D27" s="94" t="s">
        <v>219</v>
      </c>
      <c r="E27" s="94" t="s">
        <v>219</v>
      </c>
      <c r="F27" s="94" t="s">
        <v>219</v>
      </c>
    </row>
    <row r="28" customFormat="false" ht="15.75" hidden="false" customHeight="false" outlineLevel="0" collapsed="false">
      <c r="B28" s="96" t="n">
        <v>45769</v>
      </c>
      <c r="C28" s="94" t="n">
        <v>0.166666666666667</v>
      </c>
      <c r="D28" s="94" t="n">
        <v>0.479166666666667</v>
      </c>
      <c r="E28" s="94" t="n">
        <v>0.0208333333333333</v>
      </c>
      <c r="F28" s="97" t="n">
        <v>7</v>
      </c>
    </row>
    <row r="29" customFormat="false" ht="15.75" hidden="false" customHeight="false" outlineLevel="0" collapsed="false">
      <c r="B29" s="96" t="n">
        <v>45770</v>
      </c>
      <c r="C29" s="94" t="n">
        <v>0.166666666666667</v>
      </c>
      <c r="D29" s="94" t="n">
        <v>0.458333333333333</v>
      </c>
      <c r="E29" s="94" t="n">
        <v>0.0208333333333333</v>
      </c>
      <c r="F29" s="97" t="n">
        <v>6.5</v>
      </c>
    </row>
    <row r="30" customFormat="false" ht="15.75" hidden="false" customHeight="false" outlineLevel="0" collapsed="false">
      <c r="B30" s="96" t="n">
        <v>45771</v>
      </c>
      <c r="C30" s="94" t="n">
        <v>0.166666666666667</v>
      </c>
      <c r="D30" s="94" t="n">
        <v>0.46875</v>
      </c>
      <c r="E30" s="94" t="n">
        <v>0.0208333333333333</v>
      </c>
      <c r="F30" s="97" t="n">
        <v>6.7</v>
      </c>
    </row>
    <row r="31" customFormat="false" ht="15.75" hidden="false" customHeight="false" outlineLevel="0" collapsed="false">
      <c r="B31" s="96" t="n">
        <v>45772</v>
      </c>
      <c r="C31" s="94" t="n">
        <v>0.166666666666667</v>
      </c>
      <c r="D31" s="94" t="n">
        <v>0.46875</v>
      </c>
      <c r="E31" s="94" t="n">
        <v>0.0208333333333333</v>
      </c>
      <c r="F31" s="97" t="n">
        <v>6.8</v>
      </c>
    </row>
    <row r="32" customFormat="false" ht="15.75" hidden="false" customHeight="false" outlineLevel="0" collapsed="false">
      <c r="B32" s="96" t="n">
        <v>45773</v>
      </c>
      <c r="C32" s="94" t="n">
        <v>0</v>
      </c>
      <c r="D32" s="94" t="n">
        <v>0.291666666666667</v>
      </c>
      <c r="E32" s="94" t="n">
        <v>0.0208333333333333</v>
      </c>
      <c r="F32" s="97" t="n">
        <v>6.5</v>
      </c>
    </row>
    <row r="33" customFormat="false" ht="15.75" hidden="false" customHeight="false" outlineLevel="0" collapsed="false">
      <c r="B33" s="99" t="n">
        <v>45774</v>
      </c>
      <c r="C33" s="94" t="s">
        <v>219</v>
      </c>
      <c r="D33" s="94" t="s">
        <v>219</v>
      </c>
      <c r="E33" s="94" t="s">
        <v>219</v>
      </c>
      <c r="F33" s="94" t="s">
        <v>219</v>
      </c>
    </row>
    <row r="34" customFormat="false" ht="15.75" hidden="false" customHeight="false" outlineLevel="0" collapsed="false">
      <c r="B34" s="96" t="n">
        <v>45775</v>
      </c>
      <c r="C34" s="94"/>
      <c r="D34" s="94"/>
      <c r="E34" s="94" t="n">
        <v>0.0208333333333333</v>
      </c>
      <c r="F34" s="97"/>
    </row>
    <row r="35" customFormat="false" ht="15.75" hidden="false" customHeight="false" outlineLevel="0" collapsed="false">
      <c r="B35" s="96" t="n">
        <v>45776</v>
      </c>
      <c r="C35" s="94"/>
      <c r="D35" s="94"/>
      <c r="E35" s="94" t="n">
        <v>0.0208333333333333</v>
      </c>
      <c r="F35" s="97"/>
    </row>
    <row r="36" customFormat="false" ht="15.75" hidden="false" customHeight="false" outlineLevel="0" collapsed="false">
      <c r="B36" s="96" t="n">
        <v>45777</v>
      </c>
      <c r="C36" s="94"/>
      <c r="D36" s="94"/>
      <c r="E36" s="94" t="n">
        <v>0.0208333333333333</v>
      </c>
      <c r="F36" s="97"/>
    </row>
    <row r="37" customFormat="false" ht="15.75" hidden="false" customHeight="false" outlineLevel="0" collapsed="false">
      <c r="E37" s="105" t="s">
        <v>24</v>
      </c>
      <c r="F37" s="106" t="s">
        <v>24</v>
      </c>
    </row>
    <row r="38" customFormat="false" ht="15.75" hidden="false" customHeight="false" outlineLevel="0" collapsed="false">
      <c r="E38" s="103" t="n">
        <f aca="false">SUM(E7:E36)</f>
        <v>0.520833333333333</v>
      </c>
      <c r="F38" s="13" t="n">
        <f aca="false">SUM(F6:F36)</f>
        <v>158.8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H39"/>
  <sheetViews>
    <sheetView showFormulas="false" showGridLines="true" showRowColHeaders="true" showZeros="true" rightToLeft="false" tabSelected="false" showOutlineSymbols="true" defaultGridColor="true" view="normal" topLeftCell="A7" colorId="64" zoomScale="65" zoomScaleNormal="65" zoomScalePageLayoutView="100" workbookViewId="0">
      <selection pane="topLeft" activeCell="H8" activeCellId="0" sqref="H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8.14"/>
    <col collapsed="false" customWidth="true" hidden="false" outlineLevel="0" max="3" min="3" style="0" width="13.57"/>
    <col collapsed="false" customWidth="true" hidden="false" outlineLevel="0" max="4" min="4" style="0" width="11.71"/>
    <col collapsed="false" customWidth="true" hidden="false" outlineLevel="0" max="5" min="5" style="0" width="7.85"/>
    <col collapsed="false" customWidth="true" hidden="false" outlineLevel="0" max="6" min="6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6" t="n">
        <v>45717</v>
      </c>
      <c r="C7" s="94" t="s">
        <v>222</v>
      </c>
      <c r="D7" s="94"/>
      <c r="E7" s="94"/>
      <c r="F7" s="94"/>
    </row>
    <row r="8" customFormat="false" ht="15.75" hidden="false" customHeight="false" outlineLevel="0" collapsed="false">
      <c r="B8" s="99" t="n">
        <v>45718</v>
      </c>
      <c r="C8" s="94" t="s">
        <v>219</v>
      </c>
      <c r="D8" s="94" t="s">
        <v>219</v>
      </c>
      <c r="E8" s="94" t="s">
        <v>219</v>
      </c>
      <c r="F8" s="94" t="s">
        <v>219</v>
      </c>
      <c r="H8" s="0" t="n">
        <f aca="false">6+6+6+6+6+6+6+6+6+6+6+5+5+5+5+5+5+5+5+2+2+2+6+6+6</f>
        <v>130</v>
      </c>
    </row>
    <row r="9" customFormat="false" ht="15.75" hidden="false" customHeight="false" outlineLevel="0" collapsed="false">
      <c r="B9" s="96" t="n">
        <v>45719</v>
      </c>
      <c r="C9" s="94" t="n">
        <v>0</v>
      </c>
      <c r="D9" s="94" t="n">
        <v>0.322916666666667</v>
      </c>
      <c r="E9" s="94" t="n">
        <v>0.0208333333333333</v>
      </c>
      <c r="F9" s="97" t="n">
        <v>7.2</v>
      </c>
    </row>
    <row r="10" customFormat="false" ht="15.75" hidden="false" customHeight="false" outlineLevel="0" collapsed="false">
      <c r="B10" s="96" t="n">
        <v>45720</v>
      </c>
      <c r="C10" s="94" t="n">
        <v>0</v>
      </c>
      <c r="D10" s="94" t="n">
        <v>0.322916666666667</v>
      </c>
      <c r="E10" s="94" t="n">
        <v>0.0208333333333333</v>
      </c>
      <c r="F10" s="97" t="n">
        <v>7.3</v>
      </c>
    </row>
    <row r="11" customFormat="false" ht="15.75" hidden="false" customHeight="false" outlineLevel="0" collapsed="false">
      <c r="B11" s="96" t="n">
        <v>45721</v>
      </c>
      <c r="C11" s="94" t="n">
        <v>0</v>
      </c>
      <c r="D11" s="94" t="n">
        <v>0.322916666666667</v>
      </c>
      <c r="E11" s="94" t="n">
        <v>0.0208333333333333</v>
      </c>
      <c r="F11" s="97" t="n">
        <v>7.2</v>
      </c>
    </row>
    <row r="12" customFormat="false" ht="15.75" hidden="false" customHeight="false" outlineLevel="0" collapsed="false">
      <c r="B12" s="96" t="n">
        <v>45722</v>
      </c>
      <c r="C12" s="94" t="n">
        <v>0</v>
      </c>
      <c r="D12" s="94" t="n">
        <v>0.322916666666667</v>
      </c>
      <c r="E12" s="94" t="n">
        <v>0.0208333333333333</v>
      </c>
      <c r="F12" s="97" t="n">
        <v>7.3</v>
      </c>
    </row>
    <row r="13" customFormat="false" ht="15.75" hidden="false" customHeight="false" outlineLevel="0" collapsed="false">
      <c r="B13" s="96" t="n">
        <v>45723</v>
      </c>
      <c r="C13" s="94" t="n">
        <v>0</v>
      </c>
      <c r="D13" s="94" t="n">
        <v>0.322916666666667</v>
      </c>
      <c r="E13" s="94" t="n">
        <v>0.0208333333333333</v>
      </c>
      <c r="F13" s="97" t="n">
        <v>7.2</v>
      </c>
    </row>
    <row r="14" customFormat="false" ht="15.75" hidden="false" customHeight="false" outlineLevel="0" collapsed="false">
      <c r="B14" s="96" t="n">
        <v>45724</v>
      </c>
      <c r="C14" s="94" t="n">
        <v>0</v>
      </c>
      <c r="D14" s="94" t="n">
        <v>0.302083333333333</v>
      </c>
      <c r="E14" s="94" t="n">
        <v>0.0208333333333333</v>
      </c>
      <c r="F14" s="97" t="n">
        <v>6.8</v>
      </c>
    </row>
    <row r="15" customFormat="false" ht="15.75" hidden="false" customHeight="false" outlineLevel="0" collapsed="false">
      <c r="B15" s="99" t="n">
        <v>45725</v>
      </c>
      <c r="C15" s="94" t="s">
        <v>219</v>
      </c>
      <c r="D15" s="94" t="s">
        <v>219</v>
      </c>
      <c r="E15" s="94" t="s">
        <v>219</v>
      </c>
      <c r="F15" s="94" t="s">
        <v>219</v>
      </c>
    </row>
    <row r="16" customFormat="false" ht="15.75" hidden="false" customHeight="false" outlineLevel="0" collapsed="false">
      <c r="B16" s="96" t="n">
        <v>45726</v>
      </c>
      <c r="C16" s="94" t="n">
        <v>0</v>
      </c>
      <c r="D16" s="94" t="n">
        <v>0.322916666666667</v>
      </c>
      <c r="E16" s="94" t="n">
        <v>0.0208333333333333</v>
      </c>
      <c r="F16" s="97" t="n">
        <v>7.2</v>
      </c>
    </row>
    <row r="17" customFormat="false" ht="15.75" hidden="false" customHeight="false" outlineLevel="0" collapsed="false">
      <c r="B17" s="96" t="n">
        <v>45727</v>
      </c>
      <c r="C17" s="104" t="n">
        <v>0</v>
      </c>
      <c r="D17" s="94" t="n">
        <v>0.322916666666667</v>
      </c>
      <c r="E17" s="94" t="n">
        <v>0.0208333333333333</v>
      </c>
      <c r="F17" s="97" t="n">
        <v>7.3</v>
      </c>
    </row>
    <row r="18" customFormat="false" ht="15.75" hidden="false" customHeight="false" outlineLevel="0" collapsed="false">
      <c r="B18" s="96" t="n">
        <v>45728</v>
      </c>
      <c r="C18" s="94" t="n">
        <v>0.0104166666666667</v>
      </c>
      <c r="D18" s="94" t="n">
        <v>0.333333333333333</v>
      </c>
      <c r="E18" s="94" t="n">
        <v>0.0208333333333333</v>
      </c>
      <c r="F18" s="97" t="n">
        <v>7.3</v>
      </c>
    </row>
    <row r="19" customFormat="false" ht="15.75" hidden="false" customHeight="false" outlineLevel="0" collapsed="false">
      <c r="B19" s="96" t="n">
        <v>45729</v>
      </c>
      <c r="C19" s="94" t="n">
        <v>0</v>
      </c>
      <c r="D19" s="94" t="n">
        <v>0.333333333333333</v>
      </c>
      <c r="E19" s="94" t="n">
        <v>0.0208333333333333</v>
      </c>
      <c r="F19" s="97" t="n">
        <v>7.5</v>
      </c>
    </row>
    <row r="20" customFormat="false" ht="15.75" hidden="false" customHeight="false" outlineLevel="0" collapsed="false">
      <c r="B20" s="96" t="n">
        <v>45730</v>
      </c>
      <c r="C20" s="94" t="n">
        <v>0</v>
      </c>
      <c r="D20" s="94" t="n">
        <v>0.333333333333333</v>
      </c>
      <c r="E20" s="94" t="n">
        <v>0.0208333333333333</v>
      </c>
      <c r="F20" s="97" t="n">
        <v>7.5</v>
      </c>
    </row>
    <row r="21" customFormat="false" ht="15.75" hidden="false" customHeight="false" outlineLevel="0" collapsed="false">
      <c r="B21" s="96" t="n">
        <v>45731</v>
      </c>
      <c r="C21" s="94" t="n">
        <v>0.833333333333333</v>
      </c>
      <c r="D21" s="94" t="n">
        <v>0.125</v>
      </c>
      <c r="E21" s="94" t="n">
        <v>0.0208333333333333</v>
      </c>
      <c r="F21" s="97" t="n">
        <v>6.5</v>
      </c>
    </row>
    <row r="22" customFormat="false" ht="15.75" hidden="false" customHeight="false" outlineLevel="0" collapsed="false">
      <c r="B22" s="99" t="n">
        <v>45732</v>
      </c>
      <c r="C22" s="94" t="n">
        <v>0.833333333333333</v>
      </c>
      <c r="D22" s="94" t="n">
        <v>0.125</v>
      </c>
      <c r="E22" s="94" t="n">
        <v>0.0208333333333333</v>
      </c>
      <c r="F22" s="97" t="n">
        <v>6.5</v>
      </c>
    </row>
    <row r="23" customFormat="false" ht="15.75" hidden="false" customHeight="false" outlineLevel="0" collapsed="false">
      <c r="B23" s="96" t="n">
        <v>45733</v>
      </c>
      <c r="C23" s="94" t="n">
        <v>0.833333333333333</v>
      </c>
      <c r="D23" s="94" t="n">
        <v>0.125</v>
      </c>
      <c r="E23" s="94" t="n">
        <v>0.0208333333333333</v>
      </c>
      <c r="F23" s="97" t="n">
        <v>6.5</v>
      </c>
    </row>
    <row r="24" customFormat="false" ht="15.75" hidden="false" customHeight="false" outlineLevel="0" collapsed="false">
      <c r="B24" s="96" t="n">
        <v>45734</v>
      </c>
      <c r="C24" s="94" t="n">
        <v>0.833333333333333</v>
      </c>
      <c r="D24" s="94" t="n">
        <v>0.125</v>
      </c>
      <c r="E24" s="94" t="n">
        <v>0.0208333333333333</v>
      </c>
      <c r="F24" s="97" t="n">
        <v>6.5</v>
      </c>
    </row>
    <row r="25" customFormat="false" ht="15.75" hidden="false" customHeight="false" outlineLevel="0" collapsed="false">
      <c r="B25" s="96" t="n">
        <v>45735</v>
      </c>
      <c r="C25" s="94" t="n">
        <v>0.833333333333333</v>
      </c>
      <c r="D25" s="94" t="n">
        <v>0.125</v>
      </c>
      <c r="E25" s="94" t="n">
        <v>0.0208333333333333</v>
      </c>
      <c r="F25" s="97" t="n">
        <v>6.5</v>
      </c>
    </row>
    <row r="26" customFormat="false" ht="15.75" hidden="false" customHeight="false" outlineLevel="0" collapsed="false">
      <c r="B26" s="96" t="n">
        <v>45736</v>
      </c>
      <c r="C26" s="94" t="n">
        <v>0.833333333333333</v>
      </c>
      <c r="D26" s="94" t="n">
        <v>0.125</v>
      </c>
      <c r="E26" s="94" t="n">
        <v>0.0208333333333333</v>
      </c>
      <c r="F26" s="97" t="n">
        <v>6.5</v>
      </c>
    </row>
    <row r="27" customFormat="false" ht="15.75" hidden="false" customHeight="false" outlineLevel="0" collapsed="false">
      <c r="B27" s="96" t="n">
        <v>45737</v>
      </c>
      <c r="C27" s="94" t="n">
        <v>0.833333333333333</v>
      </c>
      <c r="D27" s="94" t="n">
        <v>0.125</v>
      </c>
      <c r="E27" s="94" t="n">
        <v>0.0208333333333333</v>
      </c>
      <c r="F27" s="97" t="n">
        <v>6.5</v>
      </c>
    </row>
    <row r="28" customFormat="false" ht="15.75" hidden="false" customHeight="false" outlineLevel="0" collapsed="false">
      <c r="B28" s="96" t="n">
        <v>45738</v>
      </c>
      <c r="C28" s="94" t="s">
        <v>219</v>
      </c>
      <c r="D28" s="94" t="s">
        <v>219</v>
      </c>
      <c r="E28" s="94" t="s">
        <v>219</v>
      </c>
      <c r="F28" s="94" t="s">
        <v>219</v>
      </c>
    </row>
    <row r="29" customFormat="false" ht="15.75" hidden="false" customHeight="false" outlineLevel="0" collapsed="false">
      <c r="B29" s="99" t="n">
        <v>45739</v>
      </c>
      <c r="C29" s="94" t="n">
        <v>0.833333333333333</v>
      </c>
      <c r="D29" s="94" t="n">
        <v>0.125</v>
      </c>
      <c r="E29" s="94" t="n">
        <v>0.0208333333333333</v>
      </c>
      <c r="F29" s="94" t="n">
        <v>6.5</v>
      </c>
    </row>
    <row r="30" customFormat="false" ht="15.75" hidden="false" customHeight="false" outlineLevel="0" collapsed="false">
      <c r="B30" s="96" t="n">
        <v>45740</v>
      </c>
      <c r="C30" s="94" t="s">
        <v>219</v>
      </c>
      <c r="D30" s="94" t="s">
        <v>219</v>
      </c>
      <c r="E30" s="94" t="s">
        <v>219</v>
      </c>
      <c r="F30" s="94" t="s">
        <v>219</v>
      </c>
    </row>
    <row r="31" customFormat="false" ht="15.75" hidden="false" customHeight="false" outlineLevel="0" collapsed="false">
      <c r="B31" s="96" t="n">
        <v>45741</v>
      </c>
      <c r="C31" s="94" t="n">
        <v>0.166666666666667</v>
      </c>
      <c r="D31" s="94" t="n">
        <v>0.458333333333333</v>
      </c>
      <c r="E31" s="94" t="n">
        <v>0.0208333333333333</v>
      </c>
      <c r="F31" s="97" t="n">
        <v>6.5</v>
      </c>
    </row>
    <row r="32" customFormat="false" ht="15.75" hidden="false" customHeight="false" outlineLevel="0" collapsed="false">
      <c r="B32" s="96" t="n">
        <v>45742</v>
      </c>
      <c r="C32" s="94" t="n">
        <v>0.166666666666667</v>
      </c>
      <c r="D32" s="94" t="n">
        <v>0.458333333333333</v>
      </c>
      <c r="E32" s="94" t="n">
        <v>0.0208333333333333</v>
      </c>
      <c r="F32" s="97" t="n">
        <v>6.5</v>
      </c>
    </row>
    <row r="33" customFormat="false" ht="15.75" hidden="false" customHeight="false" outlineLevel="0" collapsed="false">
      <c r="B33" s="96" t="n">
        <v>45743</v>
      </c>
      <c r="C33" s="94" t="n">
        <v>0.166666666666667</v>
      </c>
      <c r="D33" s="94" t="n">
        <v>0.458333333333333</v>
      </c>
      <c r="E33" s="94" t="n">
        <v>0.0208333333333333</v>
      </c>
      <c r="F33" s="97" t="n">
        <v>6.5</v>
      </c>
    </row>
    <row r="34" customFormat="false" ht="15.75" hidden="false" customHeight="false" outlineLevel="0" collapsed="false">
      <c r="B34" s="96" t="n">
        <v>45744</v>
      </c>
      <c r="C34" s="94" t="n">
        <v>0</v>
      </c>
      <c r="D34" s="94" t="n">
        <v>0.322916666666667</v>
      </c>
      <c r="E34" s="94" t="n">
        <v>0.0208333333333333</v>
      </c>
      <c r="F34" s="97" t="n">
        <v>7.2</v>
      </c>
    </row>
    <row r="35" customFormat="false" ht="15.75" hidden="false" customHeight="false" outlineLevel="0" collapsed="false">
      <c r="B35" s="96" t="n">
        <v>45745</v>
      </c>
      <c r="C35" s="94" t="n">
        <v>0</v>
      </c>
      <c r="D35" s="94" t="n">
        <v>0.291666666666667</v>
      </c>
      <c r="E35" s="94" t="n">
        <v>0.0208333333333333</v>
      </c>
      <c r="F35" s="97" t="n">
        <v>6.5</v>
      </c>
    </row>
    <row r="36" customFormat="false" ht="15.75" hidden="false" customHeight="false" outlineLevel="0" collapsed="false">
      <c r="B36" s="96" t="n">
        <v>45746</v>
      </c>
      <c r="C36" s="94"/>
      <c r="D36" s="94"/>
      <c r="E36" s="94"/>
      <c r="F36" s="97"/>
    </row>
    <row r="37" customFormat="false" ht="15.75" hidden="false" customHeight="false" outlineLevel="0" collapsed="false">
      <c r="B37" s="96" t="n">
        <v>45747</v>
      </c>
      <c r="C37" s="94" t="n">
        <v>0</v>
      </c>
      <c r="D37" s="94" t="n">
        <v>0.322916666666667</v>
      </c>
      <c r="E37" s="94" t="n">
        <v>0.0208333333333333</v>
      </c>
      <c r="F37" s="97" t="n">
        <v>7.3</v>
      </c>
    </row>
    <row r="38" customFormat="false" ht="15.75" hidden="false" customHeight="false" outlineLevel="0" collapsed="false">
      <c r="E38" s="105" t="s">
        <v>24</v>
      </c>
      <c r="F38" s="106" t="s">
        <v>24</v>
      </c>
    </row>
    <row r="39" customFormat="false" ht="15.75" hidden="false" customHeight="false" outlineLevel="0" collapsed="false">
      <c r="E39" s="103" t="n">
        <f aca="false">SUM(E7:E37)</f>
        <v>0.520833333333333</v>
      </c>
      <c r="F39" s="13" t="n">
        <f aca="false">SUM(F6:F37)</f>
        <v>172.3</v>
      </c>
    </row>
  </sheetData>
  <mergeCells count="1">
    <mergeCell ref="C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I36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I7" activeCellId="0" sqref="I7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8.14"/>
    <col collapsed="false" customWidth="true" hidden="false" outlineLevel="0" max="3" min="3" style="0" width="13.57"/>
    <col collapsed="false" customWidth="true" hidden="false" outlineLevel="0" max="4" min="4" style="0" width="11.71"/>
    <col collapsed="false" customWidth="true" hidden="false" outlineLevel="0" max="5" min="5" style="0" width="7.85"/>
    <col collapsed="false" customWidth="true" hidden="false" outlineLevel="0" max="6" min="6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6" t="n">
        <v>45689</v>
      </c>
      <c r="C7" s="94" t="n">
        <v>0.84375</v>
      </c>
      <c r="D7" s="94" t="n">
        <v>0.125</v>
      </c>
      <c r="E7" s="94" t="n">
        <v>0.0208333333333333</v>
      </c>
      <c r="F7" s="97" t="n">
        <v>6.8</v>
      </c>
      <c r="I7" s="0" t="n">
        <f aca="false">5+6+6+6+6+6+6+2+2+2+2+2+6+6+6+6+6+6</f>
        <v>87</v>
      </c>
    </row>
    <row r="8" customFormat="false" ht="15.75" hidden="false" customHeight="false" outlineLevel="0" collapsed="false">
      <c r="B8" s="99" t="n">
        <v>45690</v>
      </c>
      <c r="C8" s="94"/>
      <c r="D8" s="94"/>
      <c r="E8" s="94"/>
      <c r="F8" s="97"/>
    </row>
    <row r="9" customFormat="false" ht="15.75" hidden="false" customHeight="false" outlineLevel="0" collapsed="false">
      <c r="B9" s="96" t="n">
        <v>45691</v>
      </c>
      <c r="C9" s="94" t="n">
        <v>0</v>
      </c>
      <c r="D9" s="94" t="n">
        <v>0.322916666666667</v>
      </c>
      <c r="E9" s="94" t="n">
        <v>0.0208333333333333</v>
      </c>
      <c r="F9" s="97" t="n">
        <v>7.2</v>
      </c>
    </row>
    <row r="10" customFormat="false" ht="15.75" hidden="false" customHeight="false" outlineLevel="0" collapsed="false">
      <c r="B10" s="96" t="n">
        <v>45692</v>
      </c>
      <c r="C10" s="94" t="n">
        <v>0</v>
      </c>
      <c r="D10" s="94" t="n">
        <v>0.291666666666667</v>
      </c>
      <c r="E10" s="94" t="n">
        <v>0.0208333333333333</v>
      </c>
      <c r="F10" s="97" t="n">
        <v>6.5</v>
      </c>
    </row>
    <row r="11" customFormat="false" ht="15.75" hidden="false" customHeight="false" outlineLevel="0" collapsed="false">
      <c r="B11" s="96" t="n">
        <v>45693</v>
      </c>
      <c r="C11" s="94" t="n">
        <v>0</v>
      </c>
      <c r="D11" s="94" t="n">
        <v>0.322916666666667</v>
      </c>
      <c r="E11" s="94" t="n">
        <v>0.0208333333333333</v>
      </c>
      <c r="F11" s="97" t="n">
        <v>7.3</v>
      </c>
    </row>
    <row r="12" customFormat="false" ht="15.75" hidden="false" customHeight="false" outlineLevel="0" collapsed="false">
      <c r="B12" s="96" t="n">
        <v>45694</v>
      </c>
      <c r="C12" s="94" t="n">
        <v>0</v>
      </c>
      <c r="D12" s="94" t="n">
        <v>0.322916666666667</v>
      </c>
      <c r="E12" s="94" t="n">
        <v>0.0208333333333333</v>
      </c>
      <c r="F12" s="97" t="n">
        <v>7.2</v>
      </c>
    </row>
    <row r="13" customFormat="false" ht="15.75" hidden="false" customHeight="false" outlineLevel="0" collapsed="false">
      <c r="B13" s="96" t="n">
        <v>45695</v>
      </c>
      <c r="C13" s="94" t="n">
        <v>0</v>
      </c>
      <c r="D13" s="94" t="n">
        <v>0.322916666666667</v>
      </c>
      <c r="E13" s="94" t="n">
        <v>0.0208333333333333</v>
      </c>
      <c r="F13" s="97" t="n">
        <v>7.3</v>
      </c>
    </row>
    <row r="14" customFormat="false" ht="15.75" hidden="false" customHeight="false" outlineLevel="0" collapsed="false">
      <c r="B14" s="96" t="n">
        <v>45696</v>
      </c>
      <c r="C14" s="94" t="n">
        <v>0</v>
      </c>
      <c r="D14" s="94" t="n">
        <v>0.3125</v>
      </c>
      <c r="E14" s="94" t="n">
        <v>0.0208333333333333</v>
      </c>
      <c r="F14" s="97" t="n">
        <v>7</v>
      </c>
    </row>
    <row r="15" customFormat="false" ht="15.75" hidden="false" customHeight="false" outlineLevel="0" collapsed="false">
      <c r="B15" s="99" t="n">
        <v>45697</v>
      </c>
      <c r="C15" s="107" t="s">
        <v>219</v>
      </c>
      <c r="D15" s="107" t="s">
        <v>219</v>
      </c>
      <c r="E15" s="107" t="s">
        <v>219</v>
      </c>
      <c r="F15" s="107" t="s">
        <v>219</v>
      </c>
    </row>
    <row r="16" customFormat="false" ht="15.75" hidden="false" customHeight="false" outlineLevel="0" collapsed="false">
      <c r="B16" s="96" t="n">
        <v>45698</v>
      </c>
      <c r="C16" s="94" t="n">
        <v>0.166666666666667</v>
      </c>
      <c r="D16" s="94" t="n">
        <v>0.479166666666667</v>
      </c>
      <c r="E16" s="94" t="n">
        <v>0.0208333333333333</v>
      </c>
      <c r="F16" s="97" t="n">
        <v>7</v>
      </c>
    </row>
    <row r="17" customFormat="false" ht="15.75" hidden="false" customHeight="false" outlineLevel="0" collapsed="false">
      <c r="B17" s="96" t="n">
        <v>45699</v>
      </c>
      <c r="C17" s="104" t="n">
        <v>0.166666666666667</v>
      </c>
      <c r="D17" s="94" t="n">
        <v>0.458333333333333</v>
      </c>
      <c r="E17" s="94" t="n">
        <v>0.0208333333333333</v>
      </c>
      <c r="F17" s="97" t="n">
        <v>6.5</v>
      </c>
    </row>
    <row r="18" customFormat="false" ht="15.75" hidden="false" customHeight="false" outlineLevel="0" collapsed="false">
      <c r="B18" s="96" t="n">
        <v>45700</v>
      </c>
      <c r="C18" s="94" t="n">
        <v>0.166666666666667</v>
      </c>
      <c r="D18" s="94" t="n">
        <v>0.479166666666667</v>
      </c>
      <c r="E18" s="94" t="n">
        <v>0.0208333333333333</v>
      </c>
      <c r="F18" s="97" t="n">
        <v>7</v>
      </c>
    </row>
    <row r="19" customFormat="false" ht="15.75" hidden="false" customHeight="false" outlineLevel="0" collapsed="false">
      <c r="B19" s="96" t="n">
        <v>45701</v>
      </c>
      <c r="C19" s="94" t="n">
        <v>0.166666666666667</v>
      </c>
      <c r="D19" s="94" t="n">
        <v>0.458333333333333</v>
      </c>
      <c r="E19" s="94" t="n">
        <v>0.0208333333333333</v>
      </c>
      <c r="F19" s="97" t="n">
        <v>6.5</v>
      </c>
    </row>
    <row r="20" customFormat="false" ht="15.75" hidden="false" customHeight="false" outlineLevel="0" collapsed="false">
      <c r="B20" s="96" t="n">
        <v>45702</v>
      </c>
      <c r="C20" s="94" t="n">
        <v>0.166666666666667</v>
      </c>
      <c r="D20" s="94" t="n">
        <v>0.458333333333333</v>
      </c>
      <c r="E20" s="94" t="n">
        <v>0.0208333333333333</v>
      </c>
      <c r="F20" s="97" t="n">
        <v>6.5</v>
      </c>
    </row>
    <row r="21" customFormat="false" ht="15.75" hidden="false" customHeight="false" outlineLevel="0" collapsed="false">
      <c r="B21" s="96" t="n">
        <v>45703</v>
      </c>
      <c r="C21" s="94" t="n">
        <v>0.260416666666667</v>
      </c>
      <c r="D21" s="94" t="n">
        <v>0.520833333333333</v>
      </c>
      <c r="E21" s="94" t="n">
        <v>0.0208333333333333</v>
      </c>
      <c r="F21" s="97" t="n">
        <v>6.2</v>
      </c>
    </row>
    <row r="22" customFormat="false" ht="15.75" hidden="false" customHeight="false" outlineLevel="0" collapsed="false">
      <c r="B22" s="99" t="n">
        <v>45704</v>
      </c>
      <c r="C22" s="107" t="s">
        <v>219</v>
      </c>
      <c r="D22" s="107" t="s">
        <v>219</v>
      </c>
      <c r="E22" s="107" t="s">
        <v>219</v>
      </c>
      <c r="F22" s="107" t="s">
        <v>219</v>
      </c>
    </row>
    <row r="23" customFormat="false" ht="15.75" hidden="false" customHeight="false" outlineLevel="0" collapsed="false">
      <c r="B23" s="96" t="n">
        <v>45705</v>
      </c>
      <c r="C23" s="94" t="n">
        <v>0</v>
      </c>
      <c r="D23" s="94" t="n">
        <v>0.322916666666667</v>
      </c>
      <c r="E23" s="94" t="n">
        <v>0.0208333333333333</v>
      </c>
      <c r="F23" s="97" t="n">
        <v>7.2</v>
      </c>
    </row>
    <row r="24" customFormat="false" ht="15.75" hidden="false" customHeight="false" outlineLevel="0" collapsed="false">
      <c r="B24" s="96" t="n">
        <v>45706</v>
      </c>
      <c r="C24" s="94" t="n">
        <v>0</v>
      </c>
      <c r="D24" s="94" t="n">
        <v>0.322916666666667</v>
      </c>
      <c r="E24" s="94" t="n">
        <v>0.0208333333333333</v>
      </c>
      <c r="F24" s="97" t="n">
        <v>7.3</v>
      </c>
    </row>
    <row r="25" customFormat="false" ht="15.75" hidden="false" customHeight="false" outlineLevel="0" collapsed="false">
      <c r="B25" s="96" t="n">
        <v>45707</v>
      </c>
      <c r="C25" s="94" t="n">
        <v>0</v>
      </c>
      <c r="D25" s="94" t="n">
        <v>0.322916666666667</v>
      </c>
      <c r="E25" s="94" t="n">
        <v>0.0208333333333333</v>
      </c>
      <c r="F25" s="97" t="n">
        <v>7.2</v>
      </c>
    </row>
    <row r="26" customFormat="false" ht="15.75" hidden="false" customHeight="false" outlineLevel="0" collapsed="false">
      <c r="B26" s="96" t="n">
        <v>45708</v>
      </c>
      <c r="C26" s="94" t="n">
        <v>0</v>
      </c>
      <c r="D26" s="94" t="n">
        <v>0.322916666666667</v>
      </c>
      <c r="E26" s="94" t="n">
        <v>0.0208333333333333</v>
      </c>
      <c r="F26" s="97" t="n">
        <v>7.3</v>
      </c>
    </row>
    <row r="27" customFormat="false" ht="15.75" hidden="false" customHeight="false" outlineLevel="0" collapsed="false">
      <c r="B27" s="96" t="n">
        <v>45709</v>
      </c>
      <c r="C27" s="94" t="n">
        <v>0</v>
      </c>
      <c r="D27" s="94" t="n">
        <v>0.322916666666667</v>
      </c>
      <c r="E27" s="94" t="n">
        <v>0.0208333333333333</v>
      </c>
      <c r="F27" s="97" t="n">
        <v>7.2</v>
      </c>
    </row>
    <row r="28" customFormat="false" ht="15.75" hidden="false" customHeight="false" outlineLevel="0" collapsed="false">
      <c r="B28" s="96" t="n">
        <v>45710</v>
      </c>
      <c r="C28" s="94" t="n">
        <v>0</v>
      </c>
      <c r="D28" s="94" t="n">
        <v>0.3125</v>
      </c>
      <c r="E28" s="94" t="n">
        <v>0.0208333333333333</v>
      </c>
      <c r="F28" s="97" t="n">
        <v>7</v>
      </c>
    </row>
    <row r="29" customFormat="false" ht="15.75" hidden="false" customHeight="false" outlineLevel="0" collapsed="false">
      <c r="B29" s="99" t="n">
        <v>45711</v>
      </c>
      <c r="C29" s="107" t="s">
        <v>219</v>
      </c>
      <c r="D29" s="107" t="s">
        <v>219</v>
      </c>
      <c r="E29" s="107" t="s">
        <v>219</v>
      </c>
      <c r="F29" s="107" t="s">
        <v>219</v>
      </c>
    </row>
    <row r="30" customFormat="false" ht="15.75" hidden="false" customHeight="false" outlineLevel="0" collapsed="false">
      <c r="B30" s="96" t="n">
        <v>45712</v>
      </c>
      <c r="C30" s="77" t="s">
        <v>222</v>
      </c>
      <c r="D30" s="77"/>
      <c r="E30" s="94" t="n">
        <v>0.0208333333333333</v>
      </c>
      <c r="F30" s="108" t="s">
        <v>222</v>
      </c>
    </row>
    <row r="31" customFormat="false" ht="15.75" hidden="false" customHeight="false" outlineLevel="0" collapsed="false">
      <c r="B31" s="96" t="n">
        <v>45713</v>
      </c>
      <c r="C31" s="77"/>
      <c r="D31" s="77"/>
      <c r="E31" s="94" t="n">
        <v>0.0208333333333333</v>
      </c>
      <c r="F31" s="108"/>
    </row>
    <row r="32" customFormat="false" ht="15.75" hidden="false" customHeight="false" outlineLevel="0" collapsed="false">
      <c r="B32" s="96" t="n">
        <v>45714</v>
      </c>
      <c r="C32" s="77"/>
      <c r="D32" s="77"/>
      <c r="E32" s="94" t="n">
        <v>0.0208333333333333</v>
      </c>
      <c r="F32" s="108"/>
    </row>
    <row r="33" customFormat="false" ht="15.75" hidden="false" customHeight="false" outlineLevel="0" collapsed="false">
      <c r="B33" s="96" t="n">
        <v>45715</v>
      </c>
      <c r="C33" s="77"/>
      <c r="D33" s="77"/>
      <c r="E33" s="94" t="n">
        <v>0.0208333333333333</v>
      </c>
      <c r="F33" s="108"/>
    </row>
    <row r="34" customFormat="false" ht="15.75" hidden="false" customHeight="false" outlineLevel="0" collapsed="false">
      <c r="B34" s="96" t="n">
        <v>45716</v>
      </c>
      <c r="C34" s="77"/>
      <c r="D34" s="77"/>
      <c r="E34" s="94" t="n">
        <v>0.0208333333333333</v>
      </c>
      <c r="F34" s="108"/>
    </row>
    <row r="35" customFormat="false" ht="15.75" hidden="false" customHeight="false" outlineLevel="0" collapsed="false">
      <c r="E35" s="105" t="s">
        <v>24</v>
      </c>
      <c r="F35" s="106" t="s">
        <v>24</v>
      </c>
    </row>
    <row r="36" customFormat="false" ht="15.75" hidden="false" customHeight="false" outlineLevel="0" collapsed="false">
      <c r="E36" s="103" t="n">
        <f aca="false">SUM(E7:E34)</f>
        <v>0.5</v>
      </c>
      <c r="F36" s="13" t="n">
        <f aca="false">SUM(F6:F34)</f>
        <v>132.2</v>
      </c>
    </row>
  </sheetData>
  <mergeCells count="2">
    <mergeCell ref="C30:D34"/>
    <mergeCell ref="F30:F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F39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C7" activeCellId="0" sqref="C7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8.14"/>
    <col collapsed="false" customWidth="true" hidden="false" outlineLevel="0" max="3" min="3" style="0" width="13.57"/>
    <col collapsed="false" customWidth="true" hidden="false" outlineLevel="0" max="4" min="4" style="0" width="11.71"/>
    <col collapsed="false" customWidth="true" hidden="false" outlineLevel="0" max="5" min="5" style="0" width="7.85"/>
    <col collapsed="false" customWidth="true" hidden="false" outlineLevel="0" max="6" min="6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3" t="n">
        <v>45658</v>
      </c>
      <c r="C7" s="107" t="s">
        <v>219</v>
      </c>
      <c r="D7" s="107" t="s">
        <v>219</v>
      </c>
      <c r="E7" s="107" t="s">
        <v>219</v>
      </c>
      <c r="F7" s="107" t="s">
        <v>219</v>
      </c>
    </row>
    <row r="8" customFormat="false" ht="15.75" hidden="false" customHeight="false" outlineLevel="0" collapsed="false">
      <c r="B8" s="96" t="n">
        <v>45659</v>
      </c>
      <c r="C8" s="94" t="n">
        <v>0</v>
      </c>
      <c r="D8" s="94" t="n">
        <v>0.3125</v>
      </c>
      <c r="E8" s="94" t="n">
        <v>0.0208333333333333</v>
      </c>
      <c r="F8" s="97" t="n">
        <v>7</v>
      </c>
    </row>
    <row r="9" customFormat="false" ht="15.75" hidden="false" customHeight="false" outlineLevel="0" collapsed="false">
      <c r="B9" s="96" t="n">
        <v>45660</v>
      </c>
      <c r="C9" s="94" t="n">
        <v>0</v>
      </c>
      <c r="D9" s="94" t="n">
        <v>0.3125</v>
      </c>
      <c r="E9" s="94" t="n">
        <v>0.0208333333333333</v>
      </c>
      <c r="F9" s="97" t="n">
        <v>7</v>
      </c>
    </row>
    <row r="10" customFormat="false" ht="15.75" hidden="false" customHeight="false" outlineLevel="0" collapsed="false">
      <c r="B10" s="96" t="n">
        <v>45661</v>
      </c>
      <c r="C10" s="94" t="n">
        <v>0</v>
      </c>
      <c r="D10" s="94" t="n">
        <v>0.291666666666667</v>
      </c>
      <c r="E10" s="94" t="n">
        <v>0.0208333333333333</v>
      </c>
      <c r="F10" s="97" t="n">
        <v>6.5</v>
      </c>
    </row>
    <row r="11" customFormat="false" ht="15.75" hidden="false" customHeight="false" outlineLevel="0" collapsed="false">
      <c r="B11" s="99" t="n">
        <v>45662</v>
      </c>
      <c r="C11" s="94"/>
      <c r="D11" s="94"/>
      <c r="E11" s="94"/>
      <c r="F11" s="97"/>
    </row>
    <row r="12" customFormat="false" ht="15.75" hidden="false" customHeight="false" outlineLevel="0" collapsed="false">
      <c r="B12" s="93" t="n">
        <v>45663</v>
      </c>
      <c r="C12" s="94" t="n">
        <v>0</v>
      </c>
      <c r="D12" s="94" t="n">
        <v>0.3125</v>
      </c>
      <c r="E12" s="94" t="n">
        <v>0.0208333333333333</v>
      </c>
      <c r="F12" s="97" t="n">
        <v>7</v>
      </c>
    </row>
    <row r="13" customFormat="false" ht="15.75" hidden="false" customHeight="false" outlineLevel="0" collapsed="false">
      <c r="B13" s="96" t="n">
        <v>45664</v>
      </c>
      <c r="C13" s="94" t="n">
        <v>0</v>
      </c>
      <c r="D13" s="94" t="n">
        <v>0.322916666666667</v>
      </c>
      <c r="E13" s="94" t="n">
        <v>0.0208333333333333</v>
      </c>
      <c r="F13" s="97" t="n">
        <v>7.2</v>
      </c>
    </row>
    <row r="14" customFormat="false" ht="15.75" hidden="false" customHeight="false" outlineLevel="0" collapsed="false">
      <c r="B14" s="96" t="n">
        <v>45665</v>
      </c>
      <c r="C14" s="94" t="n">
        <v>0</v>
      </c>
      <c r="D14" s="94" t="n">
        <v>0.3125</v>
      </c>
      <c r="E14" s="94" t="n">
        <v>0.0208333333333333</v>
      </c>
      <c r="F14" s="97" t="n">
        <v>7</v>
      </c>
    </row>
    <row r="15" customFormat="false" ht="15.75" hidden="false" customHeight="false" outlineLevel="0" collapsed="false">
      <c r="B15" s="96" t="n">
        <v>45666</v>
      </c>
      <c r="C15" s="94" t="n">
        <v>0</v>
      </c>
      <c r="D15" s="94" t="n">
        <v>0.322916666666667</v>
      </c>
      <c r="E15" s="94" t="n">
        <v>0.0208333333333333</v>
      </c>
      <c r="F15" s="97" t="n">
        <v>7.2</v>
      </c>
    </row>
    <row r="16" customFormat="false" ht="15.75" hidden="false" customHeight="false" outlineLevel="0" collapsed="false">
      <c r="B16" s="96" t="n">
        <v>45667</v>
      </c>
      <c r="C16" s="94" t="n">
        <v>0</v>
      </c>
      <c r="D16" s="94" t="n">
        <v>0.322916666666667</v>
      </c>
      <c r="E16" s="94" t="n">
        <v>0.0208333333333333</v>
      </c>
      <c r="F16" s="97" t="n">
        <v>7.3</v>
      </c>
    </row>
    <row r="17" customFormat="false" ht="15.75" hidden="false" customHeight="false" outlineLevel="0" collapsed="false">
      <c r="B17" s="96" t="n">
        <v>45668</v>
      </c>
      <c r="C17" s="104" t="n">
        <v>0.25</v>
      </c>
      <c r="D17" s="94" t="n">
        <v>0.520833333333333</v>
      </c>
      <c r="E17" s="94" t="n">
        <v>0.0208333333333333</v>
      </c>
      <c r="F17" s="97" t="n">
        <v>6</v>
      </c>
    </row>
    <row r="18" customFormat="false" ht="15.75" hidden="false" customHeight="false" outlineLevel="0" collapsed="false">
      <c r="B18" s="99" t="n">
        <v>45669</v>
      </c>
      <c r="C18" s="94"/>
      <c r="D18" s="94"/>
      <c r="E18" s="94"/>
      <c r="F18" s="97"/>
    </row>
    <row r="19" customFormat="false" ht="15.75" hidden="false" customHeight="false" outlineLevel="0" collapsed="false">
      <c r="B19" s="96" t="n">
        <v>45670</v>
      </c>
      <c r="C19" s="94" t="n">
        <v>0</v>
      </c>
      <c r="D19" s="94" t="n">
        <v>0.322916666666667</v>
      </c>
      <c r="E19" s="94" t="n">
        <v>0.0208333333333333</v>
      </c>
      <c r="F19" s="97" t="n">
        <v>7.2</v>
      </c>
    </row>
    <row r="20" customFormat="false" ht="15.75" hidden="false" customHeight="false" outlineLevel="0" collapsed="false">
      <c r="B20" s="96" t="n">
        <v>45671</v>
      </c>
      <c r="C20" s="94" t="n">
        <v>0</v>
      </c>
      <c r="D20" s="94" t="n">
        <v>0.322916666666667</v>
      </c>
      <c r="E20" s="94" t="n">
        <v>0.0208333333333333</v>
      </c>
      <c r="F20" s="97" t="n">
        <v>7.3</v>
      </c>
    </row>
    <row r="21" customFormat="false" ht="15.75" hidden="false" customHeight="false" outlineLevel="0" collapsed="false">
      <c r="B21" s="96" t="n">
        <v>45672</v>
      </c>
      <c r="C21" s="94" t="n">
        <v>0</v>
      </c>
      <c r="D21" s="94" t="n">
        <v>0.3125</v>
      </c>
      <c r="E21" s="94" t="n">
        <v>0.0208333333333333</v>
      </c>
      <c r="F21" s="97" t="n">
        <v>7.2</v>
      </c>
    </row>
    <row r="22" customFormat="false" ht="15.75" hidden="false" customHeight="false" outlineLevel="0" collapsed="false">
      <c r="B22" s="96" t="n">
        <v>45673</v>
      </c>
      <c r="C22" s="94" t="n">
        <v>0</v>
      </c>
      <c r="D22" s="94" t="n">
        <v>0.333333333333333</v>
      </c>
      <c r="E22" s="94" t="n">
        <v>0.0208333333333333</v>
      </c>
      <c r="F22" s="97" t="n">
        <v>7.5</v>
      </c>
    </row>
    <row r="23" customFormat="false" ht="15.75" hidden="false" customHeight="false" outlineLevel="0" collapsed="false">
      <c r="B23" s="96" t="n">
        <v>45674</v>
      </c>
      <c r="C23" s="94" t="n">
        <v>0.0104166666666667</v>
      </c>
      <c r="D23" s="94" t="n">
        <v>0.322916666666667</v>
      </c>
      <c r="E23" s="94" t="n">
        <v>0.0208333333333333</v>
      </c>
      <c r="F23" s="97" t="n">
        <v>7</v>
      </c>
    </row>
    <row r="24" customFormat="false" ht="15.75" hidden="false" customHeight="false" outlineLevel="0" collapsed="false">
      <c r="B24" s="96" t="n">
        <v>45675</v>
      </c>
      <c r="C24" s="94" t="n">
        <v>0.0208333333333333</v>
      </c>
      <c r="D24" s="94" t="n">
        <v>0.3125</v>
      </c>
      <c r="E24" s="94" t="n">
        <v>0.0208333333333333</v>
      </c>
      <c r="F24" s="97" t="n">
        <v>7</v>
      </c>
    </row>
    <row r="25" customFormat="false" ht="15.75" hidden="false" customHeight="false" outlineLevel="0" collapsed="false">
      <c r="B25" s="99" t="n">
        <v>45676</v>
      </c>
      <c r="C25" s="94"/>
      <c r="D25" s="94"/>
      <c r="E25" s="94"/>
      <c r="F25" s="97"/>
    </row>
    <row r="26" customFormat="false" ht="15.75" hidden="false" customHeight="false" outlineLevel="0" collapsed="false">
      <c r="B26" s="96" t="n">
        <v>45677</v>
      </c>
      <c r="C26" s="94" t="n">
        <v>0</v>
      </c>
      <c r="D26" s="94" t="n">
        <v>0.322916666666667</v>
      </c>
      <c r="E26" s="94" t="n">
        <v>0.0208333333333333</v>
      </c>
      <c r="F26" s="97" t="n">
        <v>7.3</v>
      </c>
    </row>
    <row r="27" customFormat="false" ht="15.75" hidden="false" customHeight="false" outlineLevel="0" collapsed="false">
      <c r="B27" s="96" t="n">
        <v>45678</v>
      </c>
      <c r="C27" s="94" t="n">
        <v>0</v>
      </c>
      <c r="D27" s="94" t="n">
        <v>0.322916666666667</v>
      </c>
      <c r="E27" s="94" t="n">
        <v>0.0208333333333333</v>
      </c>
      <c r="F27" s="97" t="n">
        <v>7.2</v>
      </c>
    </row>
    <row r="28" customFormat="false" ht="15.75" hidden="false" customHeight="false" outlineLevel="0" collapsed="false">
      <c r="B28" s="96" t="n">
        <v>45679</v>
      </c>
      <c r="C28" s="94" t="n">
        <v>0</v>
      </c>
      <c r="D28" s="94" t="n">
        <v>0.322916666666667</v>
      </c>
      <c r="E28" s="94" t="n">
        <v>0.0208333333333333</v>
      </c>
      <c r="F28" s="97" t="n">
        <v>7.3</v>
      </c>
    </row>
    <row r="29" customFormat="false" ht="15.75" hidden="false" customHeight="false" outlineLevel="0" collapsed="false">
      <c r="B29" s="96" t="n">
        <v>45680</v>
      </c>
      <c r="C29" s="94" t="n">
        <v>0</v>
      </c>
      <c r="D29" s="94" t="n">
        <v>0.322916666666667</v>
      </c>
      <c r="E29" s="94" t="n">
        <v>0.0208333333333333</v>
      </c>
      <c r="F29" s="97" t="n">
        <v>7.2</v>
      </c>
    </row>
    <row r="30" customFormat="false" ht="15.75" hidden="false" customHeight="false" outlineLevel="0" collapsed="false">
      <c r="B30" s="96" t="n">
        <v>45681</v>
      </c>
      <c r="C30" s="94" t="n">
        <v>0</v>
      </c>
      <c r="D30" s="94" t="n">
        <v>0.322916666666667</v>
      </c>
      <c r="E30" s="94" t="n">
        <v>0.0208333333333333</v>
      </c>
      <c r="F30" s="97" t="n">
        <v>7.3</v>
      </c>
    </row>
    <row r="31" customFormat="false" ht="15.75" hidden="false" customHeight="false" outlineLevel="0" collapsed="false">
      <c r="B31" s="96" t="n">
        <v>45682</v>
      </c>
      <c r="C31" s="94" t="n">
        <v>0</v>
      </c>
      <c r="D31" s="94" t="n">
        <v>0.302083333333333</v>
      </c>
      <c r="E31" s="94" t="n">
        <v>0.0208333333333333</v>
      </c>
      <c r="F31" s="97" t="n">
        <v>6.8</v>
      </c>
    </row>
    <row r="32" customFormat="false" ht="15.75" hidden="false" customHeight="false" outlineLevel="0" collapsed="false">
      <c r="B32" s="99" t="n">
        <v>45683</v>
      </c>
      <c r="C32" s="94"/>
      <c r="D32" s="94"/>
      <c r="E32" s="94"/>
      <c r="F32" s="97"/>
    </row>
    <row r="33" customFormat="false" ht="15.75" hidden="false" customHeight="false" outlineLevel="0" collapsed="false">
      <c r="B33" s="96" t="n">
        <v>45684</v>
      </c>
      <c r="C33" s="107" t="s">
        <v>222</v>
      </c>
      <c r="D33" s="107" t="s">
        <v>222</v>
      </c>
      <c r="E33" s="107"/>
      <c r="F33" s="94" t="s">
        <v>222</v>
      </c>
    </row>
    <row r="34" customFormat="false" ht="15.75" hidden="false" customHeight="false" outlineLevel="0" collapsed="false">
      <c r="B34" s="96" t="n">
        <v>45685</v>
      </c>
      <c r="C34" s="94" t="s">
        <v>222</v>
      </c>
      <c r="D34" s="94" t="s">
        <v>222</v>
      </c>
      <c r="E34" s="94"/>
      <c r="F34" s="94" t="s">
        <v>222</v>
      </c>
    </row>
    <row r="35" customFormat="false" ht="15.75" hidden="false" customHeight="false" outlineLevel="0" collapsed="false">
      <c r="B35" s="96" t="n">
        <v>45686</v>
      </c>
      <c r="C35" s="94" t="n">
        <v>0</v>
      </c>
      <c r="D35" s="94" t="n">
        <v>0.322916666666667</v>
      </c>
      <c r="E35" s="94" t="n">
        <v>0.0208333333333333</v>
      </c>
      <c r="F35" s="97" t="n">
        <v>7.2</v>
      </c>
    </row>
    <row r="36" customFormat="false" ht="15.75" hidden="false" customHeight="false" outlineLevel="0" collapsed="false">
      <c r="B36" s="96" t="n">
        <v>45687</v>
      </c>
      <c r="C36" s="94" t="n">
        <v>0</v>
      </c>
      <c r="D36" s="94" t="n">
        <v>0.3125</v>
      </c>
      <c r="E36" s="94" t="n">
        <v>0.0208333333333333</v>
      </c>
      <c r="F36" s="97" t="n">
        <v>7</v>
      </c>
    </row>
    <row r="37" customFormat="false" ht="15.75" hidden="false" customHeight="false" outlineLevel="0" collapsed="false">
      <c r="B37" s="96" t="n">
        <v>45688</v>
      </c>
      <c r="C37" s="94" t="n">
        <v>0</v>
      </c>
      <c r="D37" s="94" t="n">
        <v>0.291666666666667</v>
      </c>
      <c r="E37" s="94" t="n">
        <v>0.0208333333333333</v>
      </c>
      <c r="F37" s="97" t="n">
        <v>6.5</v>
      </c>
    </row>
    <row r="38" customFormat="false" ht="15.75" hidden="false" customHeight="false" outlineLevel="0" collapsed="false">
      <c r="E38" s="105" t="s">
        <v>24</v>
      </c>
      <c r="F38" s="106" t="s">
        <v>24</v>
      </c>
    </row>
    <row r="39" customFormat="false" ht="15.75" hidden="false" customHeight="false" outlineLevel="0" collapsed="false">
      <c r="E39" s="103" t="n">
        <f aca="false">SUM(E7:E37)</f>
        <v>0.5</v>
      </c>
      <c r="F39" s="13" t="n">
        <f aca="false">SUM(F6:F37)</f>
        <v>169.2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F39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E38" activeCellId="0" sqref="E3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6.72"/>
    <col collapsed="false" customWidth="true" hidden="false" outlineLevel="0" max="3" min="3" style="0" width="13.57"/>
    <col collapsed="false" customWidth="true" hidden="false" outlineLevel="0" max="4" min="4" style="0" width="11.57"/>
    <col collapsed="false" customWidth="true" hidden="false" outlineLevel="0" max="6" min="5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9" t="n">
        <v>45627</v>
      </c>
      <c r="C7" s="107" t="s">
        <v>219</v>
      </c>
      <c r="D7" s="107" t="s">
        <v>219</v>
      </c>
      <c r="E7" s="107" t="s">
        <v>219</v>
      </c>
      <c r="F7" s="107" t="s">
        <v>219</v>
      </c>
    </row>
    <row r="8" customFormat="false" ht="15.75" hidden="false" customHeight="false" outlineLevel="0" collapsed="false">
      <c r="B8" s="96" t="n">
        <v>45628</v>
      </c>
      <c r="C8" s="94" t="n">
        <v>0</v>
      </c>
      <c r="D8" s="94" t="n">
        <v>0.322916666666667</v>
      </c>
      <c r="E8" s="94" t="n">
        <v>0.0208333333333333</v>
      </c>
      <c r="F8" s="97" t="n">
        <v>7.2</v>
      </c>
    </row>
    <row r="9" customFormat="false" ht="15.75" hidden="false" customHeight="false" outlineLevel="0" collapsed="false">
      <c r="B9" s="96" t="n">
        <v>45629</v>
      </c>
      <c r="C9" s="94" t="n">
        <v>0</v>
      </c>
      <c r="D9" s="94" t="n">
        <v>0.322916666666667</v>
      </c>
      <c r="E9" s="94" t="n">
        <v>0.0208333333333333</v>
      </c>
      <c r="F9" s="97" t="n">
        <v>7.3</v>
      </c>
    </row>
    <row r="10" customFormat="false" ht="15.75" hidden="false" customHeight="false" outlineLevel="0" collapsed="false">
      <c r="B10" s="96" t="n">
        <v>45630</v>
      </c>
      <c r="C10" s="94" t="n">
        <v>0</v>
      </c>
      <c r="D10" s="94" t="n">
        <v>0.34375</v>
      </c>
      <c r="E10" s="94" t="n">
        <v>0.0208333333333333</v>
      </c>
      <c r="F10" s="97" t="n">
        <v>7.7</v>
      </c>
    </row>
    <row r="11" customFormat="false" ht="15.75" hidden="false" customHeight="false" outlineLevel="0" collapsed="false">
      <c r="B11" s="96" t="n">
        <v>45631</v>
      </c>
      <c r="C11" s="94" t="n">
        <v>0.166666666666667</v>
      </c>
      <c r="D11" s="94" t="n">
        <v>0.520833333333333</v>
      </c>
      <c r="E11" s="94" t="n">
        <v>0.0208333333333333</v>
      </c>
      <c r="F11" s="97" t="n">
        <v>8</v>
      </c>
    </row>
    <row r="12" customFormat="false" ht="15.75" hidden="false" customHeight="false" outlineLevel="0" collapsed="false">
      <c r="B12" s="96" t="n">
        <v>45632</v>
      </c>
      <c r="C12" s="94" t="n">
        <v>0</v>
      </c>
      <c r="D12" s="94" t="n">
        <v>0.3125</v>
      </c>
      <c r="E12" s="94" t="n">
        <v>0.0208333333333333</v>
      </c>
      <c r="F12" s="107" t="n">
        <v>7</v>
      </c>
    </row>
    <row r="13" customFormat="false" ht="15.75" hidden="false" customHeight="false" outlineLevel="0" collapsed="false">
      <c r="B13" s="96" t="n">
        <v>45633</v>
      </c>
      <c r="C13" s="94" t="n">
        <v>0</v>
      </c>
      <c r="D13" s="94" t="n">
        <v>0.291666666666667</v>
      </c>
      <c r="E13" s="94" t="n">
        <v>0.0208333333333333</v>
      </c>
      <c r="F13" s="97" t="n">
        <v>6.5</v>
      </c>
    </row>
    <row r="14" customFormat="false" ht="15.75" hidden="false" customHeight="false" outlineLevel="0" collapsed="false">
      <c r="B14" s="99" t="n">
        <v>45634</v>
      </c>
      <c r="C14" s="107" t="s">
        <v>219</v>
      </c>
      <c r="D14" s="107" t="s">
        <v>219</v>
      </c>
      <c r="E14" s="107" t="s">
        <v>219</v>
      </c>
      <c r="F14" s="107" t="s">
        <v>219</v>
      </c>
    </row>
    <row r="15" customFormat="false" ht="15.75" hidden="false" customHeight="false" outlineLevel="0" collapsed="false">
      <c r="B15" s="96" t="n">
        <v>45635</v>
      </c>
      <c r="C15" s="94" t="n">
        <v>0</v>
      </c>
      <c r="D15" s="94" t="n">
        <v>0.34375</v>
      </c>
      <c r="E15" s="94" t="n">
        <v>0.0208333333333333</v>
      </c>
      <c r="F15" s="97" t="n">
        <v>7.8</v>
      </c>
    </row>
    <row r="16" customFormat="false" ht="15.75" hidden="false" customHeight="false" outlineLevel="0" collapsed="false">
      <c r="B16" s="96" t="n">
        <v>45636</v>
      </c>
      <c r="C16" s="94" t="n">
        <v>0.0833333333333333</v>
      </c>
      <c r="D16" s="94" t="n">
        <v>0.375</v>
      </c>
      <c r="E16" s="94" t="n">
        <v>0.0208333333333333</v>
      </c>
      <c r="F16" s="97" t="n">
        <v>6.5</v>
      </c>
    </row>
    <row r="17" customFormat="false" ht="15.75" hidden="false" customHeight="false" outlineLevel="0" collapsed="false">
      <c r="B17" s="96" t="n">
        <v>45637</v>
      </c>
      <c r="C17" s="94" t="n">
        <v>0.0833333333333333</v>
      </c>
      <c r="D17" s="94" t="n">
        <v>0.375</v>
      </c>
      <c r="E17" s="94" t="n">
        <v>0.0208333333333333</v>
      </c>
      <c r="F17" s="97" t="n">
        <v>6.5</v>
      </c>
    </row>
    <row r="18" customFormat="false" ht="15.75" hidden="false" customHeight="false" outlineLevel="0" collapsed="false">
      <c r="B18" s="96" t="n">
        <v>45638</v>
      </c>
      <c r="C18" s="94" t="n">
        <v>0.0833333333333333</v>
      </c>
      <c r="D18" s="94" t="n">
        <v>0.375</v>
      </c>
      <c r="E18" s="94" t="n">
        <v>0.0208333333333333</v>
      </c>
      <c r="F18" s="97" t="n">
        <v>6.5</v>
      </c>
    </row>
    <row r="19" customFormat="false" ht="15.75" hidden="false" customHeight="false" outlineLevel="0" collapsed="false">
      <c r="B19" s="96" t="n">
        <v>45639</v>
      </c>
      <c r="C19" s="94" t="n">
        <v>0.0833333333333333</v>
      </c>
      <c r="D19" s="94" t="n">
        <v>0.375</v>
      </c>
      <c r="E19" s="94" t="n">
        <v>0.0208333333333333</v>
      </c>
      <c r="F19" s="107" t="n">
        <v>6.5</v>
      </c>
    </row>
    <row r="20" customFormat="false" ht="15.75" hidden="false" customHeight="false" outlineLevel="0" collapsed="false">
      <c r="B20" s="96" t="n">
        <v>45640</v>
      </c>
      <c r="C20" s="94" t="n">
        <v>0</v>
      </c>
      <c r="D20" s="94" t="n">
        <v>0.291666666666667</v>
      </c>
      <c r="E20" s="94" t="n">
        <v>0.0208333333333333</v>
      </c>
      <c r="F20" s="97" t="n">
        <v>6.5</v>
      </c>
    </row>
    <row r="21" customFormat="false" ht="15.75" hidden="false" customHeight="false" outlineLevel="0" collapsed="false">
      <c r="B21" s="99" t="n">
        <v>45641</v>
      </c>
      <c r="C21" s="107" t="s">
        <v>219</v>
      </c>
      <c r="D21" s="107" t="s">
        <v>219</v>
      </c>
      <c r="E21" s="107" t="s">
        <v>219</v>
      </c>
      <c r="F21" s="107" t="s">
        <v>219</v>
      </c>
    </row>
    <row r="22" customFormat="false" ht="15.75" hidden="false" customHeight="false" outlineLevel="0" collapsed="false">
      <c r="B22" s="96" t="n">
        <v>45642</v>
      </c>
      <c r="C22" s="94" t="n">
        <v>0</v>
      </c>
      <c r="D22" s="94" t="n">
        <v>0.322916666666667</v>
      </c>
      <c r="E22" s="94" t="n">
        <v>0.0208333333333333</v>
      </c>
      <c r="F22" s="97" t="n">
        <v>7.2</v>
      </c>
    </row>
    <row r="23" customFormat="false" ht="15.75" hidden="false" customHeight="false" outlineLevel="0" collapsed="false">
      <c r="B23" s="96" t="n">
        <v>45643</v>
      </c>
      <c r="C23" s="94" t="n">
        <v>0</v>
      </c>
      <c r="D23" s="94" t="n">
        <v>0.3125</v>
      </c>
      <c r="E23" s="94" t="n">
        <v>0.0208333333333333</v>
      </c>
      <c r="F23" s="97" t="n">
        <v>7</v>
      </c>
    </row>
    <row r="24" customFormat="false" ht="15.75" hidden="false" customHeight="false" outlineLevel="0" collapsed="false">
      <c r="B24" s="96" t="n">
        <v>45644</v>
      </c>
      <c r="C24" s="94" t="n">
        <v>0</v>
      </c>
      <c r="D24" s="94" t="n">
        <v>0.322916666666667</v>
      </c>
      <c r="E24" s="94" t="n">
        <v>0.0208333333333333</v>
      </c>
      <c r="F24" s="97" t="n">
        <v>7.3</v>
      </c>
    </row>
    <row r="25" customFormat="false" ht="15.75" hidden="false" customHeight="false" outlineLevel="0" collapsed="false">
      <c r="B25" s="96" t="n">
        <v>45645</v>
      </c>
      <c r="C25" s="94" t="n">
        <v>0</v>
      </c>
      <c r="D25" s="94" t="n">
        <v>0.3125</v>
      </c>
      <c r="E25" s="94" t="n">
        <v>0.0208333333333333</v>
      </c>
      <c r="F25" s="97" t="n">
        <v>7</v>
      </c>
    </row>
    <row r="26" customFormat="false" ht="15.75" hidden="false" customHeight="false" outlineLevel="0" collapsed="false">
      <c r="B26" s="96" t="n">
        <v>45646</v>
      </c>
      <c r="C26" s="94" t="n">
        <v>0</v>
      </c>
      <c r="D26" s="94" t="n">
        <v>0.322916666666667</v>
      </c>
      <c r="E26" s="94" t="n">
        <v>0.0208333333333333</v>
      </c>
      <c r="F26" s="97" t="n">
        <v>7.2</v>
      </c>
    </row>
    <row r="27" customFormat="false" ht="15.75" hidden="false" customHeight="false" outlineLevel="0" collapsed="false">
      <c r="B27" s="96" t="n">
        <v>45647</v>
      </c>
      <c r="C27" s="94" t="n">
        <v>0</v>
      </c>
      <c r="D27" s="94" t="n">
        <v>0.3125</v>
      </c>
      <c r="E27" s="94" t="n">
        <v>0.0208333333333333</v>
      </c>
      <c r="F27" s="97" t="n">
        <v>7</v>
      </c>
    </row>
    <row r="28" customFormat="false" ht="15.75" hidden="false" customHeight="false" outlineLevel="0" collapsed="false">
      <c r="B28" s="99" t="n">
        <v>45648</v>
      </c>
      <c r="C28" s="107" t="s">
        <v>219</v>
      </c>
      <c r="D28" s="107" t="s">
        <v>219</v>
      </c>
      <c r="E28" s="107" t="s">
        <v>219</v>
      </c>
      <c r="F28" s="107" t="s">
        <v>219</v>
      </c>
    </row>
    <row r="29" customFormat="false" ht="15.75" hidden="false" customHeight="false" outlineLevel="0" collapsed="false">
      <c r="B29" s="96" t="n">
        <v>45649</v>
      </c>
      <c r="C29" s="94" t="s">
        <v>223</v>
      </c>
      <c r="D29" s="94" t="s">
        <v>223</v>
      </c>
      <c r="E29" s="94" t="s">
        <v>223</v>
      </c>
      <c r="F29" s="97" t="n">
        <v>6</v>
      </c>
    </row>
    <row r="30" customFormat="false" ht="15.75" hidden="false" customHeight="false" outlineLevel="0" collapsed="false">
      <c r="B30" s="93" t="n">
        <v>45650</v>
      </c>
      <c r="C30" s="94" t="n">
        <v>0</v>
      </c>
      <c r="D30" s="94" t="n">
        <v>0.3125</v>
      </c>
      <c r="E30" s="94" t="n">
        <v>0.0208333333333333</v>
      </c>
      <c r="F30" s="97" t="n">
        <v>7</v>
      </c>
    </row>
    <row r="31" customFormat="false" ht="15.75" hidden="false" customHeight="false" outlineLevel="0" collapsed="false">
      <c r="B31" s="93" t="n">
        <v>45651</v>
      </c>
      <c r="C31" s="107" t="s">
        <v>219</v>
      </c>
      <c r="D31" s="107" t="s">
        <v>219</v>
      </c>
      <c r="E31" s="107" t="s">
        <v>219</v>
      </c>
      <c r="F31" s="107" t="s">
        <v>219</v>
      </c>
    </row>
    <row r="32" customFormat="false" ht="15.75" hidden="false" customHeight="false" outlineLevel="0" collapsed="false">
      <c r="B32" s="96" t="n">
        <v>45652</v>
      </c>
      <c r="C32" s="94" t="n">
        <v>0</v>
      </c>
      <c r="D32" s="94" t="n">
        <v>0.3125</v>
      </c>
      <c r="E32" s="94" t="n">
        <v>0.0208333333333333</v>
      </c>
      <c r="F32" s="97" t="n">
        <v>7</v>
      </c>
    </row>
    <row r="33" customFormat="false" ht="15.75" hidden="false" customHeight="false" outlineLevel="0" collapsed="false">
      <c r="B33" s="96" t="n">
        <v>45653</v>
      </c>
      <c r="C33" s="94" t="n">
        <v>0</v>
      </c>
      <c r="D33" s="94" t="n">
        <v>0.3125</v>
      </c>
      <c r="E33" s="94" t="n">
        <v>0.0208333333333333</v>
      </c>
      <c r="F33" s="97" t="n">
        <v>7</v>
      </c>
    </row>
    <row r="34" customFormat="false" ht="15.75" hidden="false" customHeight="false" outlineLevel="0" collapsed="false">
      <c r="B34" s="96" t="n">
        <v>45654</v>
      </c>
      <c r="C34" s="94" t="n">
        <v>0</v>
      </c>
      <c r="D34" s="94" t="n">
        <v>0.3125</v>
      </c>
      <c r="E34" s="94" t="n">
        <v>0.0208333333333333</v>
      </c>
      <c r="F34" s="97" t="n">
        <v>7</v>
      </c>
    </row>
    <row r="35" customFormat="false" ht="15.75" hidden="false" customHeight="false" outlineLevel="0" collapsed="false">
      <c r="B35" s="99" t="n">
        <v>45655</v>
      </c>
      <c r="C35" s="94"/>
      <c r="D35" s="94"/>
      <c r="E35" s="94" t="n">
        <v>0.0208333333333333</v>
      </c>
      <c r="F35" s="97"/>
    </row>
    <row r="36" customFormat="false" ht="15.75" hidden="false" customHeight="false" outlineLevel="0" collapsed="false">
      <c r="B36" s="96" t="n">
        <v>45656</v>
      </c>
      <c r="C36" s="94" t="n">
        <v>0</v>
      </c>
      <c r="D36" s="94" t="n">
        <v>0.322916666666667</v>
      </c>
      <c r="E36" s="94" t="n">
        <v>0.0208333333333333</v>
      </c>
      <c r="F36" s="97" t="n">
        <v>7.3</v>
      </c>
    </row>
    <row r="37" customFormat="false" ht="15.75" hidden="false" customHeight="false" outlineLevel="0" collapsed="false">
      <c r="B37" s="96" t="n">
        <v>45657</v>
      </c>
      <c r="C37" s="94" t="n">
        <v>0</v>
      </c>
      <c r="D37" s="94" t="n">
        <v>0.3125</v>
      </c>
      <c r="E37" s="94" t="n">
        <v>0.0208333333333333</v>
      </c>
      <c r="F37" s="97" t="n">
        <v>7</v>
      </c>
    </row>
    <row r="38" customFormat="false" ht="15.75" hidden="false" customHeight="false" outlineLevel="0" collapsed="false">
      <c r="E38" s="105" t="s">
        <v>24</v>
      </c>
      <c r="F38" s="106" t="s">
        <v>24</v>
      </c>
    </row>
    <row r="39" customFormat="false" ht="15.75" hidden="false" customHeight="false" outlineLevel="0" collapsed="false">
      <c r="E39" s="109" t="n">
        <f aca="false">SUM(E7:E37)</f>
        <v>0.520833333333333</v>
      </c>
      <c r="F39" s="13" t="n">
        <f aca="false">SUM(F6:F37)</f>
        <v>175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F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31" activeCellId="0" sqref="C31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6.72"/>
    <col collapsed="false" customWidth="true" hidden="false" outlineLevel="0" max="3" min="3" style="0" width="13.57"/>
    <col collapsed="false" customWidth="true" hidden="false" outlineLevel="0" max="4" min="4" style="0" width="11.57"/>
    <col collapsed="false" customWidth="true" hidden="false" outlineLevel="0" max="6" min="5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3" t="n">
        <v>45597</v>
      </c>
      <c r="C7" s="94" t="n">
        <v>0</v>
      </c>
      <c r="D7" s="94" t="n">
        <v>0.3125</v>
      </c>
      <c r="E7" s="94" t="n">
        <v>0.0208333333333333</v>
      </c>
      <c r="F7" s="107" t="n">
        <v>7</v>
      </c>
    </row>
    <row r="8" customFormat="false" ht="15.75" hidden="false" customHeight="false" outlineLevel="0" collapsed="false">
      <c r="B8" s="96" t="n">
        <v>45598</v>
      </c>
      <c r="C8" s="94" t="n">
        <v>0</v>
      </c>
      <c r="D8" s="94" t="n">
        <v>0.3125</v>
      </c>
      <c r="E8" s="94" t="n">
        <v>0.0208333333333333</v>
      </c>
      <c r="F8" s="97" t="n">
        <v>7</v>
      </c>
    </row>
    <row r="9" customFormat="false" ht="15.75" hidden="false" customHeight="false" outlineLevel="0" collapsed="false">
      <c r="B9" s="99" t="n">
        <v>45599</v>
      </c>
      <c r="C9" s="107" t="s">
        <v>219</v>
      </c>
      <c r="D9" s="107" t="s">
        <v>219</v>
      </c>
      <c r="E9" s="107" t="s">
        <v>219</v>
      </c>
      <c r="F9" s="107" t="s">
        <v>219</v>
      </c>
    </row>
    <row r="10" customFormat="false" ht="15.75" hidden="false" customHeight="false" outlineLevel="0" collapsed="false">
      <c r="B10" s="96" t="n">
        <v>45600</v>
      </c>
      <c r="C10" s="94" t="n">
        <v>0</v>
      </c>
      <c r="D10" s="94" t="n">
        <v>0.322916666666667</v>
      </c>
      <c r="E10" s="94" t="n">
        <v>0.0208333333333333</v>
      </c>
      <c r="F10" s="97" t="n">
        <v>7.2</v>
      </c>
    </row>
    <row r="11" customFormat="false" ht="15.75" hidden="false" customHeight="false" outlineLevel="0" collapsed="false">
      <c r="B11" s="96" t="n">
        <v>45601</v>
      </c>
      <c r="C11" s="94" t="n">
        <v>0</v>
      </c>
      <c r="D11" s="94" t="n">
        <v>0.3125</v>
      </c>
      <c r="E11" s="94" t="n">
        <v>0.0208333333333333</v>
      </c>
      <c r="F11" s="97" t="n">
        <v>7</v>
      </c>
    </row>
    <row r="12" customFormat="false" ht="15.75" hidden="false" customHeight="false" outlineLevel="0" collapsed="false">
      <c r="B12" s="96" t="n">
        <v>45602</v>
      </c>
      <c r="C12" s="94" t="n">
        <v>0</v>
      </c>
      <c r="D12" s="94" t="n">
        <v>0.375</v>
      </c>
      <c r="E12" s="94" t="n">
        <v>0.0208333333333333</v>
      </c>
      <c r="F12" s="97" t="n">
        <v>8.5</v>
      </c>
    </row>
    <row r="13" customFormat="false" ht="15.75" hidden="false" customHeight="false" outlineLevel="0" collapsed="false">
      <c r="B13" s="96" t="n">
        <v>45603</v>
      </c>
      <c r="C13" s="94" t="n">
        <v>0.0104166666666667</v>
      </c>
      <c r="D13" s="94" t="n">
        <v>0.3125</v>
      </c>
      <c r="E13" s="94" t="n">
        <v>0.0208333333333333</v>
      </c>
      <c r="F13" s="97" t="n">
        <v>6.75</v>
      </c>
    </row>
    <row r="14" customFormat="false" ht="15.75" hidden="false" customHeight="false" outlineLevel="0" collapsed="false">
      <c r="B14" s="96" t="n">
        <v>45604</v>
      </c>
      <c r="C14" s="94" t="n">
        <v>0</v>
      </c>
      <c r="D14" s="94" t="n">
        <v>0.3125</v>
      </c>
      <c r="E14" s="94" t="n">
        <v>0.0208333333333333</v>
      </c>
      <c r="F14" s="97" t="n">
        <v>7</v>
      </c>
    </row>
    <row r="15" customFormat="false" ht="15.75" hidden="false" customHeight="false" outlineLevel="0" collapsed="false">
      <c r="B15" s="96" t="n">
        <v>45605</v>
      </c>
      <c r="C15" s="94" t="n">
        <v>0</v>
      </c>
      <c r="D15" s="94" t="n">
        <v>0.3125</v>
      </c>
      <c r="E15" s="94" t="n">
        <v>0.0208333333333333</v>
      </c>
      <c r="F15" s="97" t="n">
        <v>7</v>
      </c>
    </row>
    <row r="16" customFormat="false" ht="15.75" hidden="false" customHeight="false" outlineLevel="0" collapsed="false">
      <c r="B16" s="99" t="n">
        <v>45606</v>
      </c>
      <c r="C16" s="107" t="s">
        <v>219</v>
      </c>
      <c r="D16" s="107" t="s">
        <v>219</v>
      </c>
      <c r="E16" s="107" t="s">
        <v>219</v>
      </c>
      <c r="F16" s="107" t="s">
        <v>219</v>
      </c>
    </row>
    <row r="17" customFormat="false" ht="15.75" hidden="false" customHeight="false" outlineLevel="0" collapsed="false">
      <c r="B17" s="96" t="n">
        <v>45607</v>
      </c>
      <c r="C17" s="94" t="n">
        <v>0</v>
      </c>
      <c r="D17" s="94" t="n">
        <v>0.322916666666667</v>
      </c>
      <c r="E17" s="94" t="n">
        <v>0.0208333333333333</v>
      </c>
      <c r="F17" s="97" t="n">
        <v>7.25</v>
      </c>
    </row>
    <row r="18" customFormat="false" ht="15.75" hidden="false" customHeight="false" outlineLevel="0" collapsed="false">
      <c r="B18" s="96" t="n">
        <v>45608</v>
      </c>
      <c r="C18" s="94" t="n">
        <v>0</v>
      </c>
      <c r="D18" s="94" t="n">
        <v>0.3125</v>
      </c>
      <c r="E18" s="94" t="n">
        <v>0.0208333333333333</v>
      </c>
      <c r="F18" s="97" t="n">
        <v>7</v>
      </c>
    </row>
    <row r="19" customFormat="false" ht="15.75" hidden="false" customHeight="false" outlineLevel="0" collapsed="false">
      <c r="B19" s="96" t="n">
        <v>45609</v>
      </c>
      <c r="C19" s="94" t="n">
        <v>0</v>
      </c>
      <c r="D19" s="94" t="n">
        <v>0.3125</v>
      </c>
      <c r="E19" s="94" t="n">
        <v>0.0208333333333333</v>
      </c>
      <c r="F19" s="97" t="n">
        <v>7</v>
      </c>
    </row>
    <row r="20" customFormat="false" ht="15.75" hidden="false" customHeight="false" outlineLevel="0" collapsed="false">
      <c r="B20" s="96" t="n">
        <v>45610</v>
      </c>
      <c r="C20" s="94" t="n">
        <v>0</v>
      </c>
      <c r="D20" s="94" t="n">
        <v>0.3125</v>
      </c>
      <c r="E20" s="94" t="n">
        <v>0.0208333333333333</v>
      </c>
      <c r="F20" s="97" t="n">
        <v>7</v>
      </c>
    </row>
    <row r="21" customFormat="false" ht="15.75" hidden="false" customHeight="false" outlineLevel="0" collapsed="false">
      <c r="B21" s="96" t="n">
        <v>45611</v>
      </c>
      <c r="C21" s="94" t="n">
        <v>0</v>
      </c>
      <c r="D21" s="94" t="n">
        <v>0.322916666666667</v>
      </c>
      <c r="E21" s="94" t="n">
        <v>0.0208333333333333</v>
      </c>
      <c r="F21" s="97" t="n">
        <v>7.3</v>
      </c>
    </row>
    <row r="22" customFormat="false" ht="15.75" hidden="false" customHeight="false" outlineLevel="0" collapsed="false">
      <c r="B22" s="96" t="n">
        <v>45612</v>
      </c>
      <c r="C22" s="94" t="n">
        <v>0.0208333333333333</v>
      </c>
      <c r="D22" s="94" t="n">
        <v>0.302083333333333</v>
      </c>
      <c r="E22" s="94" t="n">
        <v>0.0208333333333333</v>
      </c>
      <c r="F22" s="97" t="n">
        <v>6.8</v>
      </c>
    </row>
    <row r="23" customFormat="false" ht="15.75" hidden="false" customHeight="false" outlineLevel="0" collapsed="false">
      <c r="B23" s="99" t="n">
        <v>45613</v>
      </c>
      <c r="C23" s="107" t="s">
        <v>219</v>
      </c>
      <c r="D23" s="107" t="s">
        <v>219</v>
      </c>
      <c r="E23" s="107" t="s">
        <v>219</v>
      </c>
      <c r="F23" s="107" t="s">
        <v>219</v>
      </c>
    </row>
    <row r="24" customFormat="false" ht="15.75" hidden="false" customHeight="false" outlineLevel="0" collapsed="false">
      <c r="B24" s="96" t="n">
        <v>45614</v>
      </c>
      <c r="C24" s="110" t="s">
        <v>220</v>
      </c>
      <c r="D24" s="110"/>
      <c r="E24" s="110"/>
      <c r="F24" s="110"/>
    </row>
    <row r="25" customFormat="false" ht="15.75" hidden="false" customHeight="false" outlineLevel="0" collapsed="false">
      <c r="B25" s="96" t="n">
        <v>45615</v>
      </c>
      <c r="C25" s="110"/>
      <c r="D25" s="110"/>
      <c r="E25" s="110"/>
      <c r="F25" s="110"/>
    </row>
    <row r="26" customFormat="false" ht="15.75" hidden="false" customHeight="false" outlineLevel="0" collapsed="false">
      <c r="B26" s="96" t="n">
        <v>45616</v>
      </c>
      <c r="C26" s="110"/>
      <c r="D26" s="110"/>
      <c r="E26" s="110"/>
      <c r="F26" s="110"/>
    </row>
    <row r="27" customFormat="false" ht="15.75" hidden="false" customHeight="false" outlineLevel="0" collapsed="false">
      <c r="B27" s="96" t="n">
        <v>45617</v>
      </c>
      <c r="C27" s="110"/>
      <c r="D27" s="110"/>
      <c r="E27" s="110"/>
      <c r="F27" s="110"/>
    </row>
    <row r="28" customFormat="false" ht="15.75" hidden="false" customHeight="false" outlineLevel="0" collapsed="false">
      <c r="B28" s="96" t="n">
        <v>45618</v>
      </c>
      <c r="C28" s="110"/>
      <c r="D28" s="110"/>
      <c r="E28" s="110"/>
      <c r="F28" s="110"/>
    </row>
    <row r="29" customFormat="false" ht="15.75" hidden="false" customHeight="false" outlineLevel="0" collapsed="false">
      <c r="B29" s="96" t="n">
        <v>45619</v>
      </c>
      <c r="C29" s="110"/>
      <c r="D29" s="110"/>
      <c r="E29" s="110"/>
      <c r="F29" s="110"/>
    </row>
    <row r="30" customFormat="false" ht="15.75" hidden="false" customHeight="false" outlineLevel="0" collapsed="false">
      <c r="B30" s="99" t="n">
        <v>45620</v>
      </c>
      <c r="C30" s="107" t="s">
        <v>219</v>
      </c>
      <c r="D30" s="107" t="s">
        <v>219</v>
      </c>
      <c r="E30" s="107" t="s">
        <v>219</v>
      </c>
      <c r="F30" s="107" t="s">
        <v>219</v>
      </c>
    </row>
    <row r="31" customFormat="false" ht="15.75" hidden="false" customHeight="false" outlineLevel="0" collapsed="false">
      <c r="B31" s="96" t="n">
        <v>45621</v>
      </c>
      <c r="C31" s="111" t="s">
        <v>220</v>
      </c>
      <c r="D31" s="111"/>
      <c r="E31" s="111"/>
      <c r="F31" s="111"/>
    </row>
    <row r="32" customFormat="false" ht="15.75" hidden="false" customHeight="false" outlineLevel="0" collapsed="false">
      <c r="B32" s="96" t="n">
        <v>45622</v>
      </c>
      <c r="C32" s="111"/>
      <c r="D32" s="111"/>
      <c r="E32" s="111"/>
      <c r="F32" s="111"/>
    </row>
    <row r="33" customFormat="false" ht="15.75" hidden="false" customHeight="false" outlineLevel="0" collapsed="false">
      <c r="B33" s="96" t="n">
        <v>45623</v>
      </c>
      <c r="C33" s="94" t="n">
        <v>0</v>
      </c>
      <c r="D33" s="94" t="n">
        <v>0.322916666666667</v>
      </c>
      <c r="E33" s="94" t="n">
        <v>0.0208333333333333</v>
      </c>
      <c r="F33" s="97" t="n">
        <v>7.2</v>
      </c>
    </row>
    <row r="34" customFormat="false" ht="15.75" hidden="false" customHeight="false" outlineLevel="0" collapsed="false">
      <c r="B34" s="96" t="n">
        <v>45624</v>
      </c>
      <c r="C34" s="94" t="n">
        <v>0</v>
      </c>
      <c r="D34" s="94" t="n">
        <v>0.333333333333333</v>
      </c>
      <c r="E34" s="94" t="n">
        <v>0.0208333333333333</v>
      </c>
      <c r="F34" s="97" t="n">
        <v>7.5</v>
      </c>
    </row>
    <row r="35" customFormat="false" ht="15.75" hidden="false" customHeight="false" outlineLevel="0" collapsed="false">
      <c r="B35" s="96" t="n">
        <v>45625</v>
      </c>
      <c r="C35" s="94" t="n">
        <v>0.166666666666667</v>
      </c>
      <c r="D35" s="94" t="n">
        <v>0.5</v>
      </c>
      <c r="E35" s="94" t="n">
        <v>0.0208333333333333</v>
      </c>
      <c r="F35" s="97" t="n">
        <v>7.5</v>
      </c>
    </row>
    <row r="36" customFormat="false" ht="15.75" hidden="false" customHeight="false" outlineLevel="0" collapsed="false">
      <c r="B36" s="96" t="n">
        <v>45626</v>
      </c>
      <c r="C36" s="94" t="n">
        <v>0</v>
      </c>
      <c r="D36" s="94" t="n">
        <v>0.291666666666667</v>
      </c>
      <c r="E36" s="94" t="n">
        <v>0.0208333333333333</v>
      </c>
      <c r="F36" s="97" t="n">
        <v>6.5</v>
      </c>
    </row>
    <row r="37" customFormat="false" ht="15.75" hidden="false" customHeight="false" outlineLevel="0" collapsed="false">
      <c r="E37" s="112" t="s">
        <v>24</v>
      </c>
      <c r="F37" s="106" t="s">
        <v>24</v>
      </c>
    </row>
    <row r="38" customFormat="false" ht="15.75" hidden="false" customHeight="false" outlineLevel="0" collapsed="false">
      <c r="E38" s="113" t="n">
        <f aca="false">SUM(E7:E36)</f>
        <v>0.375</v>
      </c>
      <c r="F38" s="13" t="n">
        <f aca="false">SUM(F6:F36)</f>
        <v>128.5</v>
      </c>
    </row>
  </sheetData>
  <mergeCells count="2">
    <mergeCell ref="C24:F29"/>
    <mergeCell ref="C31:F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F39"/>
  <sheetViews>
    <sheetView showFormulas="false" showGridLines="true" showRowColHeaders="true" showZeros="true" rightToLeft="false" tabSelected="false" showOutlineSymbols="true" defaultGridColor="true" view="normal" topLeftCell="A22" colorId="64" zoomScale="65" zoomScaleNormal="65" zoomScalePageLayoutView="100" workbookViewId="0">
      <selection pane="topLeft" activeCell="H13" activeCellId="0" sqref="H13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4.15"/>
    <col collapsed="false" customWidth="true" hidden="false" outlineLevel="0" max="3" min="3" style="0" width="13.57"/>
    <col collapsed="false" customWidth="true" hidden="false" outlineLevel="0" max="4" min="4" style="0" width="11.57"/>
    <col collapsed="false" customWidth="true" hidden="false" outlineLevel="0" max="6" min="5" style="0" width="14.71"/>
  </cols>
  <sheetData>
    <row r="4" customFormat="false" ht="15.75" hidden="false" customHeight="false" outlineLevel="0" collapsed="false"/>
    <row r="5" customFormat="false" ht="15.75" hidden="false" customHeight="false" outlineLevel="0" collapsed="false">
      <c r="B5" s="87" t="s">
        <v>3</v>
      </c>
      <c r="C5" s="88" t="s">
        <v>214</v>
      </c>
      <c r="D5" s="89" t="s">
        <v>215</v>
      </c>
      <c r="E5" s="90" t="s">
        <v>216</v>
      </c>
      <c r="F5" s="91" t="s">
        <v>217</v>
      </c>
    </row>
    <row r="6" customFormat="false" ht="15.75" hidden="false" customHeight="false" outlineLevel="0" collapsed="false">
      <c r="B6" s="52"/>
    </row>
    <row r="7" customFormat="false" ht="15.75" hidden="false" customHeight="false" outlineLevel="0" collapsed="false">
      <c r="B7" s="96" t="n">
        <v>45566</v>
      </c>
      <c r="C7" s="94" t="n">
        <v>0.166666666666667</v>
      </c>
      <c r="D7" s="94" t="n">
        <v>0.458333333333333</v>
      </c>
      <c r="E7" s="94" t="n">
        <v>0.0208333333333333</v>
      </c>
      <c r="F7" s="107" t="n">
        <v>6.5</v>
      </c>
    </row>
    <row r="8" customFormat="false" ht="15.75" hidden="false" customHeight="false" outlineLevel="0" collapsed="false">
      <c r="B8" s="96" t="n">
        <v>45567</v>
      </c>
      <c r="C8" s="94" t="n">
        <v>0.166666666666667</v>
      </c>
      <c r="D8" s="94" t="n">
        <v>0.458333333333333</v>
      </c>
      <c r="E8" s="94" t="n">
        <v>0.0208333333333333</v>
      </c>
      <c r="F8" s="97" t="n">
        <v>6.5</v>
      </c>
    </row>
    <row r="9" customFormat="false" ht="15.75" hidden="false" customHeight="false" outlineLevel="0" collapsed="false">
      <c r="B9" s="96" t="n">
        <v>45568</v>
      </c>
      <c r="C9" s="94" t="n">
        <v>0.166666666666667</v>
      </c>
      <c r="D9" s="94" t="n">
        <v>0.458333333333333</v>
      </c>
      <c r="E9" s="94" t="n">
        <v>0.0208333333333333</v>
      </c>
      <c r="F9" s="97" t="n">
        <v>6.5</v>
      </c>
    </row>
    <row r="10" customFormat="false" ht="15.75" hidden="false" customHeight="false" outlineLevel="0" collapsed="false">
      <c r="B10" s="96" t="n">
        <v>45569</v>
      </c>
      <c r="C10" s="94" t="n">
        <v>0.177083333333333</v>
      </c>
      <c r="D10" s="94" t="n">
        <v>0.458333333333333</v>
      </c>
      <c r="E10" s="94" t="n">
        <v>0.0208333333333333</v>
      </c>
      <c r="F10" s="97" t="n">
        <v>6.3</v>
      </c>
    </row>
    <row r="11" customFormat="false" ht="15.75" hidden="false" customHeight="false" outlineLevel="0" collapsed="false">
      <c r="B11" s="96" t="n">
        <v>45570</v>
      </c>
      <c r="C11" s="94" t="n">
        <v>0.25</v>
      </c>
      <c r="D11" s="94" t="n">
        <v>0.520833333333333</v>
      </c>
      <c r="E11" s="94" t="n">
        <v>0.0208333333333333</v>
      </c>
      <c r="F11" s="97" t="n">
        <v>6.5</v>
      </c>
    </row>
    <row r="12" customFormat="false" ht="15.75" hidden="false" customHeight="false" outlineLevel="0" collapsed="false">
      <c r="B12" s="114" t="n">
        <v>45571</v>
      </c>
      <c r="C12" s="107" t="s">
        <v>219</v>
      </c>
      <c r="D12" s="107" t="s">
        <v>219</v>
      </c>
      <c r="E12" s="107" t="s">
        <v>219</v>
      </c>
      <c r="F12" s="107" t="s">
        <v>219</v>
      </c>
    </row>
    <row r="13" customFormat="false" ht="15.75" hidden="false" customHeight="false" outlineLevel="0" collapsed="false">
      <c r="B13" s="96" t="n">
        <v>45572</v>
      </c>
      <c r="C13" s="94" t="n">
        <v>0</v>
      </c>
      <c r="D13" s="94" t="n">
        <v>0.291666666666667</v>
      </c>
      <c r="E13" s="94" t="n">
        <v>0.0208333333333333</v>
      </c>
      <c r="F13" s="97" t="n">
        <v>6.5</v>
      </c>
    </row>
    <row r="14" customFormat="false" ht="15.75" hidden="false" customHeight="false" outlineLevel="0" collapsed="false">
      <c r="B14" s="96" t="n">
        <v>45573</v>
      </c>
      <c r="C14" s="94" t="n">
        <v>0</v>
      </c>
      <c r="D14" s="94" t="n">
        <v>0.291666666666667</v>
      </c>
      <c r="E14" s="94" t="n">
        <v>0.0208333333333333</v>
      </c>
      <c r="F14" s="97" t="n">
        <v>6.5</v>
      </c>
    </row>
    <row r="15" customFormat="false" ht="15.75" hidden="false" customHeight="false" outlineLevel="0" collapsed="false">
      <c r="B15" s="96" t="n">
        <v>45574</v>
      </c>
      <c r="C15" s="94" t="n">
        <v>0</v>
      </c>
      <c r="D15" s="94" t="n">
        <v>0.3125</v>
      </c>
      <c r="E15" s="94" t="n">
        <v>0.0208333333333333</v>
      </c>
      <c r="F15" s="97" t="n">
        <v>7</v>
      </c>
    </row>
    <row r="16" customFormat="false" ht="15.75" hidden="false" customHeight="false" outlineLevel="0" collapsed="false">
      <c r="B16" s="96" t="n">
        <v>45575</v>
      </c>
      <c r="C16" s="94" t="n">
        <v>0</v>
      </c>
      <c r="D16" s="94" t="n">
        <v>0.322916666666667</v>
      </c>
      <c r="E16" s="94" t="n">
        <v>0.0208333333333333</v>
      </c>
      <c r="F16" s="97" t="n">
        <v>7.2</v>
      </c>
    </row>
    <row r="17" customFormat="false" ht="15.75" hidden="false" customHeight="false" outlineLevel="0" collapsed="false">
      <c r="B17" s="96" t="n">
        <v>45576</v>
      </c>
      <c r="C17" s="94" t="n">
        <v>0</v>
      </c>
      <c r="D17" s="94" t="n">
        <v>0.291666666666667</v>
      </c>
      <c r="E17" s="94" t="n">
        <v>0.0208333333333333</v>
      </c>
      <c r="F17" s="97" t="n">
        <v>6.5</v>
      </c>
    </row>
    <row r="18" customFormat="false" ht="15.75" hidden="false" customHeight="false" outlineLevel="0" collapsed="false">
      <c r="B18" s="96" t="n">
        <v>45577</v>
      </c>
      <c r="C18" s="94" t="n">
        <v>0</v>
      </c>
      <c r="D18" s="94" t="n">
        <v>0.291666666666667</v>
      </c>
      <c r="E18" s="94" t="n">
        <v>0.0208333333333333</v>
      </c>
      <c r="F18" s="97" t="n">
        <v>6.5</v>
      </c>
    </row>
    <row r="19" customFormat="false" ht="15.75" hidden="false" customHeight="false" outlineLevel="0" collapsed="false">
      <c r="B19" s="114" t="n">
        <v>45578</v>
      </c>
      <c r="C19" s="107" t="s">
        <v>219</v>
      </c>
      <c r="D19" s="107" t="s">
        <v>219</v>
      </c>
      <c r="E19" s="107" t="s">
        <v>219</v>
      </c>
      <c r="F19" s="107" t="s">
        <v>219</v>
      </c>
    </row>
    <row r="20" customFormat="false" ht="15.75" hidden="false" customHeight="false" outlineLevel="0" collapsed="false">
      <c r="B20" s="96" t="n">
        <v>45579</v>
      </c>
      <c r="C20" s="94" t="n">
        <v>0</v>
      </c>
      <c r="D20" s="94" t="n">
        <v>0.3125</v>
      </c>
      <c r="E20" s="94" t="n">
        <v>0.0208333333333333</v>
      </c>
      <c r="F20" s="97" t="n">
        <v>7</v>
      </c>
    </row>
    <row r="21" customFormat="false" ht="15.75" hidden="false" customHeight="false" outlineLevel="0" collapsed="false">
      <c r="B21" s="96" t="n">
        <v>45580</v>
      </c>
      <c r="C21" s="94" t="n">
        <v>0</v>
      </c>
      <c r="D21" s="94" t="n">
        <v>0.3125</v>
      </c>
      <c r="E21" s="94" t="n">
        <v>0.0208333333333333</v>
      </c>
      <c r="F21" s="97" t="n">
        <v>7</v>
      </c>
    </row>
    <row r="22" customFormat="false" ht="15.75" hidden="false" customHeight="false" outlineLevel="0" collapsed="false">
      <c r="B22" s="96" t="n">
        <v>45581</v>
      </c>
      <c r="C22" s="94" t="n">
        <v>0</v>
      </c>
      <c r="D22" s="94" t="n">
        <v>0.3125</v>
      </c>
      <c r="E22" s="94" t="n">
        <v>0.0208333333333333</v>
      </c>
      <c r="F22" s="97" t="n">
        <v>7</v>
      </c>
    </row>
    <row r="23" customFormat="false" ht="15.75" hidden="false" customHeight="false" outlineLevel="0" collapsed="false">
      <c r="B23" s="96" t="n">
        <v>45582</v>
      </c>
      <c r="C23" s="94" t="n">
        <v>0</v>
      </c>
      <c r="D23" s="94" t="n">
        <v>0.322916666666667</v>
      </c>
      <c r="E23" s="94" t="n">
        <v>0.0208333333333333</v>
      </c>
      <c r="F23" s="97" t="n">
        <v>7.2</v>
      </c>
    </row>
    <row r="24" customFormat="false" ht="15.75" hidden="false" customHeight="false" outlineLevel="0" collapsed="false">
      <c r="B24" s="96" t="n">
        <v>45583</v>
      </c>
      <c r="C24" s="94" t="n">
        <v>0</v>
      </c>
      <c r="D24" s="94" t="n">
        <v>0.416666666666667</v>
      </c>
      <c r="E24" s="94" t="n">
        <v>0.0208333333333333</v>
      </c>
      <c r="F24" s="97" t="n">
        <v>9.5</v>
      </c>
    </row>
    <row r="25" customFormat="false" ht="15.75" hidden="false" customHeight="false" outlineLevel="0" collapsed="false">
      <c r="B25" s="96" t="n">
        <v>45584</v>
      </c>
      <c r="C25" s="94" t="n">
        <v>0.25</v>
      </c>
      <c r="D25" s="94" t="n">
        <v>0.625</v>
      </c>
      <c r="E25" s="94" t="n">
        <v>0.0208333333333333</v>
      </c>
      <c r="F25" s="97" t="n">
        <v>8.5</v>
      </c>
    </row>
    <row r="26" customFormat="false" ht="15.75" hidden="false" customHeight="false" outlineLevel="0" collapsed="false">
      <c r="B26" s="114" t="n">
        <v>45585</v>
      </c>
      <c r="C26" s="107" t="s">
        <v>219</v>
      </c>
      <c r="D26" s="107" t="s">
        <v>219</v>
      </c>
      <c r="E26" s="107" t="s">
        <v>219</v>
      </c>
      <c r="F26" s="107" t="s">
        <v>219</v>
      </c>
    </row>
    <row r="27" customFormat="false" ht="15.75" hidden="false" customHeight="false" outlineLevel="0" collapsed="false">
      <c r="B27" s="96" t="n">
        <v>45586</v>
      </c>
      <c r="C27" s="94" t="n">
        <v>0</v>
      </c>
      <c r="D27" s="94" t="n">
        <v>0.3125</v>
      </c>
      <c r="E27" s="94" t="n">
        <v>0.0208333333333333</v>
      </c>
      <c r="F27" s="97" t="n">
        <v>7</v>
      </c>
    </row>
    <row r="28" customFormat="false" ht="15.75" hidden="false" customHeight="false" outlineLevel="0" collapsed="false">
      <c r="B28" s="96" t="n">
        <v>45587</v>
      </c>
      <c r="C28" s="94" t="n">
        <v>0</v>
      </c>
      <c r="D28" s="94" t="n">
        <v>0.3125</v>
      </c>
      <c r="E28" s="94" t="n">
        <v>0.0208333333333333</v>
      </c>
      <c r="F28" s="97" t="n">
        <v>7</v>
      </c>
    </row>
    <row r="29" customFormat="false" ht="15.75" hidden="false" customHeight="false" outlineLevel="0" collapsed="false">
      <c r="B29" s="96" t="n">
        <v>45588</v>
      </c>
      <c r="C29" s="94" t="n">
        <v>0</v>
      </c>
      <c r="D29" s="94" t="n">
        <v>0.322916666666667</v>
      </c>
      <c r="E29" s="94" t="n">
        <v>0.0208333333333333</v>
      </c>
      <c r="F29" s="97" t="n">
        <v>7.3</v>
      </c>
    </row>
    <row r="30" customFormat="false" ht="15.75" hidden="false" customHeight="false" outlineLevel="0" collapsed="false">
      <c r="B30" s="96" t="n">
        <v>45589</v>
      </c>
      <c r="C30" s="94" t="n">
        <v>0</v>
      </c>
      <c r="D30" s="94" t="n">
        <v>0.333333333333333</v>
      </c>
      <c r="E30" s="94" t="n">
        <v>0.0208333333333333</v>
      </c>
      <c r="F30" s="97" t="n">
        <v>7.5</v>
      </c>
    </row>
    <row r="31" customFormat="false" ht="15.75" hidden="false" customHeight="false" outlineLevel="0" collapsed="false">
      <c r="B31" s="96" t="n">
        <v>45590</v>
      </c>
      <c r="C31" s="94" t="n">
        <v>0</v>
      </c>
      <c r="D31" s="94" t="n">
        <v>0.322916666666667</v>
      </c>
      <c r="E31" s="94" t="n">
        <v>0.0208333333333333</v>
      </c>
      <c r="F31" s="97" t="n">
        <v>7.2</v>
      </c>
    </row>
    <row r="32" customFormat="false" ht="15.75" hidden="false" customHeight="false" outlineLevel="0" collapsed="false">
      <c r="B32" s="96" t="n">
        <v>45591</v>
      </c>
      <c r="C32" s="94" t="n">
        <v>0</v>
      </c>
      <c r="D32" s="94" t="n">
        <v>0.333333333333333</v>
      </c>
      <c r="E32" s="94" t="n">
        <v>0.0208333333333333</v>
      </c>
      <c r="F32" s="97" t="n">
        <v>7.5</v>
      </c>
    </row>
    <row r="33" customFormat="false" ht="15.75" hidden="false" customHeight="false" outlineLevel="0" collapsed="false">
      <c r="B33" s="114" t="n">
        <v>45592</v>
      </c>
      <c r="C33" s="107" t="s">
        <v>219</v>
      </c>
      <c r="D33" s="107" t="s">
        <v>219</v>
      </c>
      <c r="E33" s="107" t="s">
        <v>219</v>
      </c>
      <c r="F33" s="107" t="s">
        <v>219</v>
      </c>
    </row>
    <row r="34" customFormat="false" ht="15.75" hidden="false" customHeight="false" outlineLevel="0" collapsed="false">
      <c r="B34" s="96" t="n">
        <v>45593</v>
      </c>
      <c r="C34" s="94" t="n">
        <v>0</v>
      </c>
      <c r="D34" s="94" t="n">
        <v>0.3125</v>
      </c>
      <c r="E34" s="94" t="n">
        <v>0.0208333333333333</v>
      </c>
      <c r="F34" s="97" t="n">
        <v>7</v>
      </c>
    </row>
    <row r="35" customFormat="false" ht="15.75" hidden="false" customHeight="false" outlineLevel="0" collapsed="false">
      <c r="B35" s="96" t="n">
        <v>45594</v>
      </c>
      <c r="C35" s="94" t="n">
        <v>0</v>
      </c>
      <c r="D35" s="94" t="n">
        <v>0.34375</v>
      </c>
      <c r="E35" s="94" t="n">
        <v>0.0208333333333333</v>
      </c>
      <c r="F35" s="97" t="n">
        <v>7.8</v>
      </c>
    </row>
    <row r="36" customFormat="false" ht="15.75" hidden="false" customHeight="false" outlineLevel="0" collapsed="false">
      <c r="B36" s="96" t="n">
        <v>45595</v>
      </c>
      <c r="C36" s="94" t="n">
        <v>0</v>
      </c>
      <c r="D36" s="94" t="n">
        <v>0.322916666666667</v>
      </c>
      <c r="E36" s="94" t="n">
        <v>0.0208333333333333</v>
      </c>
      <c r="F36" s="97" t="n">
        <v>7.2</v>
      </c>
    </row>
    <row r="37" customFormat="false" ht="15.75" hidden="false" customHeight="false" outlineLevel="0" collapsed="false">
      <c r="B37" s="96" t="n">
        <v>45596</v>
      </c>
      <c r="C37" s="94" t="n">
        <v>0</v>
      </c>
      <c r="D37" s="94" t="n">
        <v>0.333333333333333</v>
      </c>
      <c r="E37" s="94" t="n">
        <v>0.0208333333333333</v>
      </c>
      <c r="F37" s="97" t="n">
        <v>7.5</v>
      </c>
    </row>
    <row r="38" customFormat="false" ht="15.75" hidden="false" customHeight="false" outlineLevel="0" collapsed="false">
      <c r="E38" s="112" t="s">
        <v>24</v>
      </c>
      <c r="F38" s="106" t="s">
        <v>24</v>
      </c>
    </row>
    <row r="39" customFormat="false" ht="15.75" hidden="false" customHeight="false" outlineLevel="0" collapsed="false">
      <c r="E39" s="113" t="n">
        <f aca="false">SUM(E7:E37)</f>
        <v>0.5625</v>
      </c>
      <c r="F39" s="13" t="n">
        <f aca="false">SUM(F6:F37)</f>
        <v>191.7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  <DocSecurity>1</DocSecurity>
  <Company>UNES CENTRO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2024-10-21T02:57:45Z</dcterms:created>
  <dc:creator>Emanuele Basile</dc:creator>
  <dc:description/>
  <dc:language>it-IT</dc:language>
  <cp:lastModifiedBy/>
  <cp:lastPrinted>2025-12-01T03:27:45Z</cp:lastPrinted>
  <dcterms:modified xsi:type="dcterms:W3CDTF">2026-01-14T14:21:47Z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